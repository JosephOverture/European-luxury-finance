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6a2fce21624b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6eef17406efe42b2"/>
    <x:sheet xmlns:r="http://schemas.openxmlformats.org/officeDocument/2006/relationships" name="Historical Financials" sheetId="2" r:id="R956fe74dc8494fdd"/>
    <x:sheet xmlns:r="http://schemas.openxmlformats.org/officeDocument/2006/relationships" name="Peer Comparison" sheetId="3" r:id="R6da3bb350b944e00"/>
    <x:sheet xmlns:r="http://schemas.openxmlformats.org/officeDocument/2006/relationships" name="Ferrari DCF" sheetId="4" r:id="Rcfc4f7ece2f14065"/>
    <x:sheet xmlns:r="http://schemas.openxmlformats.org/officeDocument/2006/relationships" name="Dashboard" sheetId="5" r:id="R9e1338eda4084bdc"/>
    <x:sheet xmlns:r="http://schemas.openxmlformats.org/officeDocument/2006/relationships" name="Sources" sheetId="6" r:id="Ra26c688c4ad047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;[Red](#,##0.0);-"/>
    <x:numFmt numFmtId="201" formatCode="0.0%;[Red](0.0%);-"/>
    <x:numFmt numFmtId="202" formatCode="0.0"/>
    <x:numFmt numFmtId="203" formatCode="0"/>
    <x:numFmt numFmtId="204" formatCode="EUR #,##0.00;[Red](EUR #,##0.00);-"/>
    <x:numFmt numFmtId="205" formatCode="0.00"/>
  </x:numFmts>
  <x:fonts count="1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  <x:font>
      <x:b/>
      <x:sz val="11"/>
      <x:color rgb="FF0000FF"/>
      <x:name val="Carlito"/>
    </x:font>
    <x:font>
      <x:b/>
      <x:sz val="11"/>
      <x:color rgb="FF008000"/>
      <x:name val="Carlito"/>
    </x:font>
    <x:font>
      <x:b/>
      <x:sz val="11"/>
      <x:color rgb="FF000000"/>
      <x:name val="Carlito"/>
    </x:font>
    <x:font>
      <x:b/>
      <x:sz val="11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sz val="11"/>
      <x:color rgb="FF000000"/>
      <x:name val="Carlito"/>
    </x:font>
    <x:font>
      <x:b/>
      <x:sz val="11"/>
      <x:color rgb="FF0B1F33"/>
      <x:name val="Carlito"/>
    </x:font>
    <x:font>
      <x:b/>
      <x:sz val="11"/>
      <x:color rgb="FFC6A15B"/>
      <x:name val="Carlito"/>
    </x:font>
    <x:font>
      <x:b/>
      <x:sz val="13"/>
      <x:color rgb="FF0B1F33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AFBFC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F4F7FA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6">
    <x:border/>
    <x:border/>
    <x:border>
      <x:top style="thin">
        <x:color rgb="FF000000"/>
      </x:top>
    </x:border>
    <x:border>
      <x:top style="thin">
        <x:color rgb="FF000000"/>
      </x:top>
    </x:border>
    <x:border>
      <x:top style="double">
        <x:color rgb="FF0B1F33"/>
      </x:top>
    </x:border>
    <x:border>
      <x:top style="double">
        <x:color rgb="FF0B1F33"/>
      </x:top>
    </x:border>
  </x:borders>
  <x:cellStyleXfs count="1">
    <x:xf numFmtId="0" fontId="0" fillId="0" borderId="0"/>
  </x:cellStyleXfs>
  <x:cellXfs count="1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0" fillId="4" borderId="1" xfId="0" applyNumberFormat="1" applyFont="1" applyFill="1" applyBorder="1"/>
    <x:xf numFmtId="0" fontId="7" fillId="4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200" fontId="8" fillId="0" borderId="0" xfId="0" applyNumberFormat="1" applyFont="1" applyFill="1" applyBorder="1"/>
    <x:xf numFmtId="200" fontId="8" fillId="0" borderId="1" xfId="0" applyNumberFormat="1" applyFont="1" applyFill="1" applyBorder="1"/>
    <x:xf numFmtId="20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200" fontId="8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8" fillId="5" borderId="1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20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200" fontId="8" fillId="6" borderId="1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201" fontId="9" fillId="0" borderId="0" xfId="0" applyNumberFormat="1" applyFont="1" applyFill="1" applyBorder="1"/>
    <x:xf numFmtId="201" fontId="9" fillId="0" borderId="1" xfId="0" applyNumberFormat="1" applyFont="1" applyFill="1" applyBorder="1"/>
    <x:xf numFmtId="202" fontId="10" fillId="0" borderId="0" xfId="0" applyNumberFormat="1" applyFont="1" applyFill="1" applyBorder="1"/>
    <x:xf numFmtId="202" fontId="10" fillId="0" borderId="1" xfId="0" applyNumberFormat="1" applyFont="1" applyFill="1" applyBorder="1"/>
    <x:xf numFmtId="203" fontId="10" fillId="0" borderId="0" xfId="0" applyNumberFormat="1" applyFont="1" applyFill="1" applyBorder="1"/>
    <x:xf numFmtId="203" fontId="10" fillId="0" borderId="1" xfId="0" applyNumberFormat="1" applyFont="1" applyFill="1" applyBorder="1"/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wrapText="1"/>
    </x:xf>
    <x:xf numFmtId="0" fontId="11" fillId="7" borderId="0" xfId="0" applyNumberFormat="1" applyFont="1" applyFill="1" applyBorder="1" applyAlignment="1">
      <x:alignment horizontal="center" wrapText="1"/>
    </x:xf>
    <x:xf numFmtId="0" fontId="11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1" fillId="7" borderId="1" xfId="0" applyNumberFormat="1" applyFont="1" applyFill="1" applyBorder="1"/>
    <x:xf numFmtId="0" fontId="11" fillId="7" borderId="1" xfId="0" applyNumberFormat="1" applyFont="1" applyFill="1" applyBorder="1" applyAlignment="1">
      <x:alignment wrapText="1"/>
    </x:xf>
    <x:xf numFmtId="0" fontId="11" fillId="7" borderId="1" xfId="0" applyNumberFormat="1" applyFont="1" applyFill="1" applyBorder="1" applyAlignment="1">
      <x:alignment horizontal="center" wrapText="1"/>
    </x:xf>
    <x:xf numFmtId="0" fontId="11" fillId="7" borderId="1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201" fontId="8" fillId="4" borderId="0" xfId="0" applyNumberFormat="1" applyFont="1" applyFill="1" applyBorder="1"/>
    <x:xf numFmtId="201" fontId="8" fillId="4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vertical="top" wrapText="1"/>
    </x:xf>
    <x:xf numFmtId="200" fontId="8" fillId="4" borderId="0" xfId="0" applyNumberFormat="1" applyFont="1" applyFill="1" applyBorder="1"/>
    <x:xf numFmtId="200" fontId="8" fillId="4" borderId="1" xfId="0" applyNumberFormat="1" applyFont="1" applyFill="1" applyBorder="1"/>
    <x:xf numFmtId="200" fontId="10" fillId="0" borderId="0" xfId="0" applyNumberFormat="1" applyFont="1" applyFill="1" applyBorder="1"/>
    <x:xf numFmtId="200" fontId="0" fillId="0" borderId="0" xfId="0" applyNumberFormat="1" applyFont="1" applyFill="1" applyBorder="1"/>
    <x:xf numFmtId="200" fontId="10" fillId="0" borderId="1" xfId="0" applyNumberFormat="1" applyFont="1" applyFill="1" applyBorder="1"/>
    <x:xf numFmtId="200" fontId="0" fillId="0" borderId="1" xfId="0" applyNumberFormat="1" applyFont="1" applyFill="1" applyBorder="1"/>
    <x:xf numFmtId="204" fontId="10" fillId="0" borderId="0" xfId="0" applyNumberFormat="1" applyFont="1" applyFill="1" applyBorder="1"/>
    <x:xf numFmtId="204" fontId="10" fillId="0" borderId="1" xfId="0" applyNumberFormat="1" applyFont="1" applyFill="1" applyBorder="1"/>
    <x:xf numFmtId="0" fontId="0" fillId="0" borderId="2" xfId="0" applyNumberFormat="1" applyFont="1" applyFill="1" applyBorder="1"/>
    <x:xf numFmtId="200" fontId="10" fillId="0" borderId="2" xfId="0" applyNumberFormat="1" applyFont="1" applyFill="1" applyBorder="1"/>
    <x:xf numFmtId="0" fontId="0" fillId="0" borderId="3" xfId="0" applyNumberFormat="1" applyFont="1" applyFill="1" applyBorder="1"/>
    <x:xf numFmtId="200" fontId="10" fillId="0" borderId="3" xfId="0" applyNumberFormat="1" applyFont="1" applyFill="1" applyBorder="1"/>
    <x:xf numFmtId="0" fontId="0" fillId="9" borderId="0" xfId="0" applyNumberFormat="1" applyFont="1" applyFill="1" applyBorder="1"/>
    <x:xf numFmtId="204" fontId="10" fillId="9" borderId="0" xfId="0" applyNumberFormat="1" applyFont="1" applyFill="1" applyBorder="1"/>
    <x:xf numFmtId="0" fontId="6" fillId="9" borderId="0" xfId="0" applyNumberFormat="1" applyFont="1" applyFill="1" applyBorder="1"/>
    <x:xf numFmtId="204" fontId="6" fillId="9" borderId="0" xfId="0" applyNumberFormat="1" applyFont="1" applyFill="1" applyBorder="1"/>
    <x:xf numFmtId="0" fontId="6" fillId="9" borderId="4" xfId="0" applyNumberFormat="1" applyFont="1" applyFill="1" applyBorder="1"/>
    <x:xf numFmtId="204" fontId="6" fillId="9" borderId="4" xfId="0" applyNumberFormat="1" applyFont="1" applyFill="1" applyBorder="1"/>
    <x:xf numFmtId="0" fontId="0" fillId="9" borderId="1" xfId="0" applyNumberFormat="1" applyFont="1" applyFill="1" applyBorder="1"/>
    <x:xf numFmtId="204" fontId="10" fillId="9" borderId="1" xfId="0" applyNumberFormat="1" applyFont="1" applyFill="1" applyBorder="1"/>
    <x:xf numFmtId="0" fontId="6" fillId="9" borderId="1" xfId="0" applyNumberFormat="1" applyFont="1" applyFill="1" applyBorder="1"/>
    <x:xf numFmtId="204" fontId="6" fillId="9" borderId="1" xfId="0" applyNumberFormat="1" applyFont="1" applyFill="1" applyBorder="1"/>
    <x:xf numFmtId="0" fontId="6" fillId="9" borderId="5" xfId="0" applyNumberFormat="1" applyFont="1" applyFill="1" applyBorder="1"/>
    <x:xf numFmtId="204" fontId="6" fillId="9" borderId="5" xfId="0" applyNumberFormat="1" applyFont="1" applyFill="1" applyBorder="1"/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201" fontId="4" fillId="7" borderId="0" xfId="0" applyNumberFormat="1" applyFont="1" applyFill="1" applyBorder="1" applyAlignment="1">
      <x:alignment horizontal="center" vertical="center" wrapText="1"/>
    </x:xf>
    <x:xf numFmtId="201" fontId="4" fillId="7" borderId="1" xfId="0" applyNumberFormat="1" applyFont="1" applyFill="1" applyBorder="1" applyAlignment="1">
      <x:alignment horizontal="center" vertical="center" wrapText="1"/>
    </x:xf>
    <x:xf numFmtId="205" fontId="10" fillId="0" borderId="0" xfId="0" applyNumberFormat="1" applyFont="1" applyFill="1" applyBorder="1"/>
    <x:xf numFmtId="205" fontId="10" fillId="0" borderId="1" xfId="0" applyNumberFormat="1" applyFont="1" applyFill="1" applyBorder="1"/>
    <x:xf numFmtId="0" fontId="0" fillId="10" borderId="0" xfId="0" applyNumberFormat="1" applyFont="1" applyFill="1" applyBorder="1"/>
    <x:xf numFmtId="0" fontId="0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vertical="top" wrapText="1"/>
    </x:xf>
    <x:xf numFmtId="0" fontId="0" fillId="10" borderId="1" xfId="0" applyNumberFormat="1" applyFont="1" applyFill="1" applyBorder="1"/>
    <x:xf numFmtId="0" fontId="0" fillId="10" borderId="1" xfId="0" applyNumberFormat="1" applyFont="1" applyFill="1" applyBorder="1" applyAlignment="1">
      <x:alignment wrapText="1"/>
    </x:xf>
    <x:xf numFmtId="0" fontId="0" fillId="10" borderId="1" xfId="0" applyNumberFormat="1" applyFont="1" applyFill="1" applyBorder="1" applyAlignment="1">
      <x:alignment vertical="top" wrapText="1"/>
    </x:xf>
    <x:xf numFmtId="202" fontId="9" fillId="0" borderId="0" xfId="0" applyNumberFormat="1" applyFont="1" applyFill="1" applyBorder="1"/>
    <x:xf numFmtId="202" fontId="9" fillId="0" borderId="1" xfId="0" applyNumberFormat="1" applyFont="1" applyFill="1" applyBorder="1"/>
    <x:xf numFmtId="0" fontId="12" fillId="0" borderId="0" xfId="0" applyNumberFormat="1" applyFont="1" applyFill="1" applyBorder="1"/>
    <x:xf numFmtId="0" fontId="12" fillId="0" borderId="1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2" fillId="0" borderId="1" xfId="0" applyNumberFormat="1" applyFont="1" applyFill="1" applyBorder="1" applyAlignment="1">
      <x:alignment wrapText="1"/>
    </x:xf>
    <x:xf numFmtId="200" fontId="9" fillId="0" borderId="0" xfId="0" applyNumberFormat="1" applyFont="1" applyFill="1" applyBorder="1"/>
    <x:xf numFmtId="200" fontId="9" fillId="0" borderId="1" xfId="0" applyNumberFormat="1" applyFont="1" applyFill="1" applyBorder="1"/>
    <x:xf numFmtId="205" fontId="9" fillId="0" borderId="0" xfId="0" applyNumberFormat="1" applyFont="1" applyFill="1" applyBorder="1"/>
    <x:xf numFmtId="205" fontId="9" fillId="0" borderId="1" xfId="0" applyNumberFormat="1" applyFont="1" applyFill="1" applyBorder="1"/>
    <x:xf numFmtId="0" fontId="13" fillId="8" borderId="0" xfId="0" applyNumberFormat="1" applyFont="1" applyFill="1" applyBorder="1"/>
    <x:xf numFmtId="0" fontId="13" fillId="8" borderId="0" xfId="0" applyNumberFormat="1" applyFont="1" applyFill="1" applyBorder="1" applyAlignment="1">
      <x:alignment wrapText="1"/>
    </x:xf>
    <x:xf numFmtId="0" fontId="13" fillId="8" borderId="0" xfId="0" applyNumberFormat="1" applyFont="1" applyFill="1" applyBorder="1" applyAlignment="1">
      <x:alignment vertical="center" wrapText="1"/>
    </x:xf>
    <x:xf numFmtId="0" fontId="13" fillId="8" borderId="1" xfId="0" applyNumberFormat="1" applyFont="1" applyFill="1" applyBorder="1"/>
    <x:xf numFmtId="0" fontId="13" fillId="8" borderId="1" xfId="0" applyNumberFormat="1" applyFont="1" applyFill="1" applyBorder="1" applyAlignment="1">
      <x:alignment wrapText="1"/>
    </x:xf>
    <x:xf numFmtId="0" fontId="13" fillId="8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1c3c9b41a740a9" /><Relationship Type="http://schemas.openxmlformats.org/officeDocument/2006/relationships/theme" Target="/xl/theme/theme1.xml" Id="Rfd3f310902054c9f" /><Relationship Type="http://schemas.openxmlformats.org/officeDocument/2006/relationships/sharedStrings" Target="/xl/sharedStrings.xml" Id="R2d7e0283e0634c88" /><Relationship Type="http://schemas.openxmlformats.org/officeDocument/2006/relationships/worksheet" Target="/xl/worksheets/sheet1.xml" Id="R6eef17406efe42b2" /><Relationship Type="http://schemas.openxmlformats.org/officeDocument/2006/relationships/worksheet" Target="/xl/worksheets/sheet2.xml" Id="R956fe74dc8494fdd" /><Relationship Type="http://schemas.openxmlformats.org/officeDocument/2006/relationships/worksheet" Target="/xl/worksheets/sheet3.xml" Id="R6da3bb350b944e00" /><Relationship Type="http://schemas.openxmlformats.org/officeDocument/2006/relationships/worksheet" Target="/xl/worksheets/sheet4.xml" Id="Rcfc4f7ece2f14065" /><Relationship Type="http://schemas.openxmlformats.org/officeDocument/2006/relationships/worksheet" Target="/xl/worksheets/sheet5.xml" Id="R9e1338eda4084bdc" /><Relationship Type="http://schemas.openxmlformats.org/officeDocument/2006/relationships/worksheet" Target="/xl/worksheets/sheet6.xml" Id="Ra26c688c4ad047b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b76dd33098f45d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Weighted operating-quality score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Weighted score</c:v>
          </c:tx>
          <c:cat>
            <c:strRef>
              <c:f>'Dashboard'!$A$5:$A$9</c:f>
              <c:strCache>
                <c:ptCount val="0"/>
              </c:strCache>
            </c:strRef>
          </c:cat>
          <c:val>
            <c:numRef>
              <c:f>'Dashboard'!$B$5:$B$9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17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b76dd33098f45d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591e93e072fc4b4d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5" t="str">
        <x:v>European Luxury Quality &amp; Valuation Screen</x:v>
      </x:c>
      <x:c r="B1" s="5"/>
      <x:c r="C1" s="5"/>
      <x:c r="D1" s="5"/>
      <x:c r="E1" s="5"/>
      <x:c r="F1" s="5"/>
      <x:c r="G1" s="5"/>
      <x:c r="H1" s="5"/>
    </x:row>
    <x:row r="3" ht="21" customHeight="1">
      <x:c r="A3" s="13" t="str">
        <x:v>Purpose</x:v>
      </x:c>
      <x:c r="B3" s="13" t="str"/>
      <x:c r="C3" s="13" t="str"/>
      <x:c r="D3" s="13" t="str"/>
      <x:c r="E3" s="13" t="str"/>
      <x:c r="F3" s="13" t="str"/>
      <x:c r="G3" s="13" t="str"/>
      <x:c r="H3" s="13" t="str"/>
    </x:row>
    <x:row r="4">
      <x:c r="A4" s="19" t="str">
        <x:v>An independently constructed peer screen of Ferrari, LVMH, Hermes, Moncler and Brunello Cucinelli. The model ranks operating quality using reported FY2023-FY2025 figures and includes an illustrative Ferrari DCF. The ranking is a quality watchlist, not an investment recommendation, because market prices and investor-specific constraints are excluded.</x:v>
      </x:c>
      <x:c r="B4" s="19"/>
      <x:c r="C4" s="19"/>
      <x:c r="D4" s="19"/>
      <x:c r="E4" s="19"/>
      <x:c r="F4" s="19"/>
      <x:c r="G4" s="19"/>
      <x:c r="H4" s="19"/>
    </x:row>
    <x:row r="5">
      <x:c r="A5" s="19"/>
      <x:c r="B5" s="19"/>
      <x:c r="C5" s="19"/>
      <x:c r="D5" s="19"/>
      <x:c r="E5" s="19"/>
      <x:c r="F5" s="19"/>
      <x:c r="G5" s="19"/>
      <x:c r="H5" s="19"/>
    </x:row>
    <x:row r="6">
      <x:c r="A6" s="19"/>
      <x:c r="B6" s="19"/>
      <x:c r="C6" s="19"/>
      <x:c r="D6" s="19"/>
      <x:c r="E6" s="19"/>
      <x:c r="F6" s="19"/>
      <x:c r="G6" s="19"/>
      <x:c r="H6" s="19"/>
    </x:row>
    <x:row r="7">
      <x:c r="A7" s="19"/>
      <x:c r="B7" s="19"/>
      <x:c r="C7" s="19"/>
      <x:c r="D7" s="19"/>
      <x:c r="E7" s="19"/>
      <x:c r="F7" s="19"/>
      <x:c r="G7" s="19"/>
      <x:c r="H7" s="19"/>
    </x:row>
    <x:row r="9" ht="21" customHeight="1">
      <x:c r="A9" s="13" t="str">
        <x:v>How to use the workbook</x:v>
      </x:c>
      <x:c r="B9" s="13"/>
      <x:c r="C9" s="13"/>
      <x:c r="D9" s="13"/>
      <x:c r="E9" s="13"/>
      <x:c r="F9" s="13"/>
      <x:c r="G9" s="13"/>
      <x:c r="H9" s="13"/>
    </x:row>
    <x:row r="10">
      <x:c r="A10" s="22" t="str">
        <x:v>1</x:v>
      </x:c>
      <x:c r="B10" s="18" t="str">
        <x:v>Review reported inputs in Historical Financials. Source IDs map to the Sources sheet.</x:v>
      </x:c>
      <x:c r="C10" s="18" t="str"/>
      <x:c r="D10" s="18" t="str"/>
      <x:c r="E10" s="18" t="str"/>
      <x:c r="F10" s="18" t="str"/>
      <x:c r="G10" s="18" t="str"/>
      <x:c r="H10" s="18" t="str"/>
    </x:row>
    <x:row r="11">
      <x:c r="A11" s="22" t="str">
        <x:v>2</x:v>
      </x:c>
      <x:c r="B11" s="18" t="str">
        <x:v>Inspect Peer Comparison to understand the scoring formula and sensitivity to each operating metric.</x:v>
      </x:c>
      <x:c r="C11" s="18" t="str"/>
      <x:c r="D11" s="18" t="str"/>
      <x:c r="E11" s="18" t="str"/>
      <x:c r="F11" s="18" t="str"/>
      <x:c r="G11" s="18" t="str"/>
      <x:c r="H11" s="18" t="str"/>
    </x:row>
    <x:row r="12">
      <x:c r="A12" s="22" t="str">
        <x:v>3</x:v>
      </x:c>
      <x:c r="B12" s="18" t="str">
        <x:v>Edit yellow/blue assumptions in Ferrari DCF. All values are illustrative and should be defended as assumptions.</x:v>
      </x:c>
      <x:c r="C12" s="18" t="str"/>
      <x:c r="D12" s="18" t="str"/>
      <x:c r="E12" s="18" t="str"/>
      <x:c r="F12" s="18" t="str"/>
      <x:c r="G12" s="18" t="str"/>
      <x:c r="H12" s="18" t="str"/>
    </x:row>
    <x:row r="13">
      <x:c r="A13" s="22" t="str">
        <x:v>4</x:v>
      </x:c>
      <x:c r="B13" s="18" t="str">
        <x:v>Use Dashboard for the interview-ready summary, then verify all figures against the underlying filings before publishing.</x:v>
      </x:c>
      <x:c r="C13" s="18" t="str"/>
      <x:c r="D13" s="18" t="str"/>
      <x:c r="E13" s="18" t="str"/>
      <x:c r="F13" s="18" t="str"/>
      <x:c r="G13" s="18" t="str"/>
      <x:c r="H13" s="18" t="str"/>
    </x:row>
    <x:row r="14">
      <x:c r="A14" s="22" t="str"/>
      <x:c r="B14" s="18" t="str">
        <x:v>Limitations: differing fiscal definitions, recurring vs reported EBIT, no current market valuation, and a very small peer set.</x:v>
      </x:c>
      <x:c r="C14" s="18" t="str"/>
      <x:c r="D14" s="18" t="str"/>
      <x:c r="E14" s="18" t="str"/>
      <x:c r="F14" s="18" t="str"/>
      <x:c r="G14" s="18" t="str"/>
      <x:c r="H14" s="18" t="str"/>
    </x:row>
    <x:row r="15">
      <x:c r="A15" s="22" t="str"/>
      <x:c r="B15" s="18" t="str">
        <x:v>Authoring note: use this as a model template; understand and customize every conclusion before placing it on a CV.</x:v>
      </x:c>
      <x:c r="C15" s="18" t="str"/>
      <x:c r="D15" s="18" t="str"/>
      <x:c r="E15" s="18" t="str"/>
      <x:c r="F15" s="18" t="str"/>
      <x:c r="G15" s="18" t="str"/>
      <x:c r="H15" s="18" t="str"/>
    </x:row>
    <x:row r="16">
      <x:c r="A16" s="18" t="str"/>
      <x:c r="B16" s="18" t="str"/>
      <x:c r="C16" s="18" t="str"/>
      <x:c r="D16" s="18" t="str"/>
      <x:c r="E16" s="18" t="str"/>
      <x:c r="F16" s="18" t="str"/>
      <x:c r="G16" s="18" t="str"/>
      <x:c r="H16" s="18" t="str"/>
    </x:row>
    <x:row r="18" ht="21" customHeight="1">
      <x:c r="A18" s="13" t="str">
        <x:v>Model color convention</x:v>
      </x:c>
      <x:c r="B18" s="13"/>
      <x:c r="C18" s="13"/>
      <x:c r="D18" s="13"/>
      <x:c r="E18" s="13"/>
      <x:c r="F18" s="13"/>
    </x:row>
    <x:row r="19">
      <x:c r="A19" s="34" t="str">
        <x:v>Blue font</x:v>
      </x:c>
      <x:c r="B19" s="18" t="str">
        <x:v>Hardcoded inputs / user-editable assumptions</x:v>
      </x:c>
      <x:c r="C19" s="18"/>
      <x:c r="D19" s="18"/>
      <x:c r="E19" s="18"/>
      <x:c r="F19" s="18"/>
    </x:row>
    <x:row r="20">
      <x:c r="A20" s="35" t="str">
        <x:v>Green font</x:v>
      </x:c>
      <x:c r="B20" s="18" t="str">
        <x:v>Links to another worksheet</x:v>
      </x:c>
      <x:c r="C20" s="18"/>
      <x:c r="D20" s="18"/>
      <x:c r="E20" s="18"/>
      <x:c r="F20" s="18"/>
    </x:row>
    <x:row r="21">
      <x:c r="A21" s="36" t="str">
        <x:v>Black font</x:v>
      </x:c>
      <x:c r="B21" s="18" t="str">
        <x:v>Formulas and calculations</x:v>
      </x:c>
      <x:c r="C21" s="18"/>
      <x:c r="D21" s="18"/>
      <x:c r="E21" s="18"/>
      <x:c r="F21" s="18"/>
    </x:row>
    <x:row r="22">
      <x:c r="A22" s="37" t="str">
        <x:v>Yellow fill</x:v>
      </x:c>
      <x:c r="B22" s="18" t="str">
        <x:v>Key assumptions requiring review</x:v>
      </x:c>
      <x:c r="C22" s="18"/>
      <x:c r="D22" s="18"/>
      <x:c r="E22" s="18"/>
      <x:c r="F22" s="18"/>
    </x:row>
  </x:sheetData>
  <x:mergeCells>
    <x:mergeCell ref="A1:H1"/>
    <x:mergeCell ref="A3:H3"/>
    <x:mergeCell ref="A4:H7"/>
    <x:mergeCell ref="A9:H9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1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0" hidden="0" customWidth="1"/>
    <x:col min="8" max="8" width="38" hidden="0" customWidth="1"/>
  </x:cols>
  <x:sheetData>
    <x:row r="1" ht="30" customHeight="1">
      <x:c r="A1" s="5" t="str">
        <x:v>Reported financial history</x:v>
      </x:c>
      <x:c r="B1" s="5"/>
      <x:c r="C1" s="5"/>
      <x:c r="D1" s="5"/>
      <x:c r="E1" s="5"/>
      <x:c r="F1" s="5"/>
      <x:c r="G1" s="5"/>
      <x:c r="H1" s="5"/>
    </x:row>
    <x:row r="3">
      <x:c r="A3" s="44" t="str">
        <x:v>Company</x:v>
      </x:c>
      <x:c r="B3" s="44" t="str">
        <x:v>Metric</x:v>
      </x:c>
      <x:c r="C3" s="44" t="str">
        <x:v>Unit</x:v>
      </x:c>
      <x:c r="D3" s="44" t="str">
        <x:v>FY2023</x:v>
      </x:c>
      <x:c r="E3" s="44" t="str">
        <x:v>FY2024</x:v>
      </x:c>
      <x:c r="F3" s="44" t="str">
        <x:v>FY2025</x:v>
      </x:c>
      <x:c r="G3" s="44" t="str">
        <x:v>Source ID</x:v>
      </x:c>
      <x:c r="H3" s="44" t="str">
        <x:v>Notes</x:v>
      </x:c>
    </x:row>
    <x:row r="4">
      <x:c r="A4" s="56" t="str">
        <x:v>Ferrari</x:v>
      </x:c>
      <x:c r="B4" s="56" t="str">
        <x:v>Revenue</x:v>
      </x:c>
      <x:c r="C4" s="56" t="str">
        <x:v>EUR mm</x:v>
      </x:c>
      <x:c r="D4" s="57" t="n">
        <x:v>5970</x:v>
      </x:c>
      <x:c r="E4" s="57" t="n">
        <x:v>6677</x:v>
      </x:c>
      <x:c r="F4" s="57" t="n">
        <x:v>7146</x:v>
      </x:c>
      <x:c r="G4" s="58" t="str">
        <x:v>S1</x:v>
      </x:c>
      <x:c r="H4" s="58" t="str">
        <x:v>Reported revenue</x:v>
      </x:c>
    </x:row>
    <x:row r="5">
      <x:c r="A5" s="56" t="str">
        <x:v>Ferrari</x:v>
      </x:c>
      <x:c r="B5" s="56" t="str">
        <x:v>EBIT</x:v>
      </x:c>
      <x:c r="C5" s="56" t="str">
        <x:v>EUR mm</x:v>
      </x:c>
      <x:c r="D5" s="57" t="n">
        <x:v>1617</x:v>
      </x:c>
      <x:c r="E5" s="57" t="n">
        <x:v>1888</x:v>
      </x:c>
      <x:c r="F5" s="57" t="n">
        <x:v>2110</x:v>
      </x:c>
      <x:c r="G5" s="58" t="str">
        <x:v>S1</x:v>
      </x:c>
      <x:c r="H5" s="58" t="str">
        <x:v>Reported EBIT</x:v>
      </x:c>
    </x:row>
    <x:row r="6">
      <x:c r="A6" s="56" t="str">
        <x:v>Ferrari</x:v>
      </x:c>
      <x:c r="B6" s="56" t="str">
        <x:v>Net profit</x:v>
      </x:c>
      <x:c r="C6" s="56" t="str">
        <x:v>EUR mm</x:v>
      </x:c>
      <x:c r="D6" s="57" t="n">
        <x:v>1257</x:v>
      </x:c>
      <x:c r="E6" s="57" t="n">
        <x:v>1526</x:v>
      </x:c>
      <x:c r="F6" s="57" t="n">
        <x:v>1600</x:v>
      </x:c>
      <x:c r="G6" s="58" t="str">
        <x:v>S1</x:v>
      </x:c>
      <x:c r="H6" s="58" t="str">
        <x:v>Reported net profit</x:v>
      </x:c>
    </x:row>
    <x:row r="7">
      <x:c r="A7" s="56" t="str">
        <x:v>Ferrari</x:v>
      </x:c>
      <x:c r="B7" s="56" t="str">
        <x:v>Industrial free cash flow</x:v>
      </x:c>
      <x:c r="C7" s="56" t="str">
        <x:v>EUR mm</x:v>
      </x:c>
      <x:c r="D7" s="57" t="n">
        <x:v>932</x:v>
      </x:c>
      <x:c r="E7" s="57" t="n">
        <x:v>1027</x:v>
      </x:c>
      <x:c r="F7" s="57" t="n">
        <x:v>1538</x:v>
      </x:c>
      <x:c r="G7" s="58" t="str">
        <x:v>S1</x:v>
      </x:c>
      <x:c r="H7" s="58" t="str">
        <x:v>Company-defined industrial FCF</x:v>
      </x:c>
    </x:row>
    <x:row r="8">
      <x:c r="A8" s="56" t="str">
        <x:v>Ferrari</x:v>
      </x:c>
      <x:c r="B8" s="56" t="str">
        <x:v>Net cash / (debt)</x:v>
      </x:c>
      <x:c r="C8" s="56" t="str">
        <x:v>EUR mm</x:v>
      </x:c>
      <x:c r="D8" s="57"/>
      <x:c r="E8" s="57"/>
      <x:c r="F8" s="57" t="n">
        <x:v>-32</x:v>
      </x:c>
      <x:c r="G8" s="58" t="str">
        <x:v>S1</x:v>
      </x:c>
      <x:c r="H8" s="58" t="str">
        <x:v>Negative denotes net industrial debt</x:v>
      </x:c>
    </x:row>
    <x:row r="9">
      <x:c r="A9" s="62" t="str">
        <x:v>LVMH</x:v>
      </x:c>
      <x:c r="B9" s="62" t="str">
        <x:v>Revenue</x:v>
      </x:c>
      <x:c r="C9" s="62" t="str">
        <x:v>EUR mm</x:v>
      </x:c>
      <x:c r="D9" s="63" t="n">
        <x:v>86153</x:v>
      </x:c>
      <x:c r="E9" s="63" t="n">
        <x:v>84683</x:v>
      </x:c>
      <x:c r="F9" s="63" t="n">
        <x:v>80807</x:v>
      </x:c>
      <x:c r="G9" s="64" t="str">
        <x:v>S2</x:v>
      </x:c>
      <x:c r="H9" s="64" t="str">
        <x:v>Reported revenue</x:v>
      </x:c>
    </x:row>
    <x:row r="10">
      <x:c r="A10" s="62" t="str">
        <x:v>LVMH</x:v>
      </x:c>
      <x:c r="B10" s="62" t="str">
        <x:v>Recurring operating profit</x:v>
      </x:c>
      <x:c r="C10" s="62" t="str">
        <x:v>EUR mm</x:v>
      </x:c>
      <x:c r="D10" s="63" t="n">
        <x:v>22802</x:v>
      </x:c>
      <x:c r="E10" s="63" t="n">
        <x:v>19571</x:v>
      </x:c>
      <x:c r="F10" s="63" t="n">
        <x:v>17755</x:v>
      </x:c>
      <x:c r="G10" s="64" t="str">
        <x:v>S2</x:v>
      </x:c>
      <x:c r="H10" s="64" t="str">
        <x:v>Recurring operating profit used as EBIT proxy</x:v>
      </x:c>
    </x:row>
    <x:row r="11">
      <x:c r="A11" s="62" t="str">
        <x:v>LVMH</x:v>
      </x:c>
      <x:c r="B11" s="62" t="str">
        <x:v>Net profit, group share</x:v>
      </x:c>
      <x:c r="C11" s="62" t="str">
        <x:v>EUR mm</x:v>
      </x:c>
      <x:c r="D11" s="63" t="n">
        <x:v>15174</x:v>
      </x:c>
      <x:c r="E11" s="63" t="n">
        <x:v>12550</x:v>
      </x:c>
      <x:c r="F11" s="63" t="n">
        <x:v>10878</x:v>
      </x:c>
      <x:c r="G11" s="64" t="str">
        <x:v>S2</x:v>
      </x:c>
      <x:c r="H11" s="64" t="str">
        <x:v>Group-share net profit</x:v>
      </x:c>
    </x:row>
    <x:row r="12">
      <x:c r="A12" s="62" t="str">
        <x:v>LVMH</x:v>
      </x:c>
      <x:c r="B12" s="62" t="str">
        <x:v>Free cash flow</x:v>
      </x:c>
      <x:c r="C12" s="62" t="str">
        <x:v>EUR mm</x:v>
      </x:c>
      <x:c r="D12" s="63" t="n">
        <x:v>8104</x:v>
      </x:c>
      <x:c r="E12" s="63" t="n">
        <x:v>10478</x:v>
      </x:c>
      <x:c r="F12" s="63" t="n">
        <x:v>11333</x:v>
      </x:c>
      <x:c r="G12" s="64" t="str">
        <x:v>S2</x:v>
      </x:c>
      <x:c r="H12" s="64" t="str">
        <x:v>Reported operating free cash flow</x:v>
      </x:c>
    </x:row>
    <x:row r="13">
      <x:c r="A13" s="62" t="str">
        <x:v>LVMH</x:v>
      </x:c>
      <x:c r="B13" s="62" t="str">
        <x:v>Net cash / (debt)</x:v>
      </x:c>
      <x:c r="C13" s="62" t="str">
        <x:v>EUR mm</x:v>
      </x:c>
      <x:c r="D13" s="63"/>
      <x:c r="E13" s="63"/>
      <x:c r="F13" s="63" t="n">
        <x:v>-6857</x:v>
      </x:c>
      <x:c r="G13" s="64" t="str">
        <x:v>S2</x:v>
      </x:c>
      <x:c r="H13" s="64" t="str">
        <x:v>Negative denotes net financial debt</x:v>
      </x:c>
    </x:row>
    <x:row r="14">
      <x:c r="A14" s="56" t="str">
        <x:v>Hermes</x:v>
      </x:c>
      <x:c r="B14" s="56" t="str">
        <x:v>Revenue</x:v>
      </x:c>
      <x:c r="C14" s="56" t="str">
        <x:v>EUR mm</x:v>
      </x:c>
      <x:c r="D14" s="57" t="n">
        <x:v>13427</x:v>
      </x:c>
      <x:c r="E14" s="57" t="n">
        <x:v>15170</x:v>
      </x:c>
      <x:c r="F14" s="57" t="n">
        <x:v>16002</x:v>
      </x:c>
      <x:c r="G14" s="58" t="str">
        <x:v>S3</x:v>
      </x:c>
      <x:c r="H14" s="58" t="str">
        <x:v>Reported revenue</x:v>
      </x:c>
    </x:row>
    <x:row r="15">
      <x:c r="A15" s="56" t="str">
        <x:v>Hermes</x:v>
      </x:c>
      <x:c r="B15" s="56" t="str">
        <x:v>Recurring operating income</x:v>
      </x:c>
      <x:c r="C15" s="56" t="str">
        <x:v>EUR mm</x:v>
      </x:c>
      <x:c r="D15" s="57" t="n">
        <x:v>5650</x:v>
      </x:c>
      <x:c r="E15" s="57" t="n">
        <x:v>6144</x:v>
      </x:c>
      <x:c r="F15" s="57" t="n">
        <x:v>6569</x:v>
      </x:c>
      <x:c r="G15" s="58" t="str">
        <x:v>S3</x:v>
      </x:c>
      <x:c r="H15" s="58" t="str">
        <x:v>Recurring operating income</x:v>
      </x:c>
    </x:row>
    <x:row r="16">
      <x:c r="A16" s="56" t="str">
        <x:v>Hermes</x:v>
      </x:c>
      <x:c r="B16" s="56" t="str">
        <x:v>Net profit, group share</x:v>
      </x:c>
      <x:c r="C16" s="56" t="str">
        <x:v>EUR mm</x:v>
      </x:c>
      <x:c r="D16" s="57" t="n">
        <x:v>4311</x:v>
      </x:c>
      <x:c r="E16" s="57" t="n">
        <x:v>4597</x:v>
      </x:c>
      <x:c r="F16" s="57" t="n">
        <x:v>4524</x:v>
      </x:c>
      <x:c r="G16" s="58" t="str">
        <x:v>S3</x:v>
      </x:c>
      <x:c r="H16" s="58" t="str">
        <x:v>Group-share net profit</x:v>
      </x:c>
    </x:row>
    <x:row r="17">
      <x:c r="A17" s="56" t="str">
        <x:v>Hermes</x:v>
      </x:c>
      <x:c r="B17" s="56" t="str">
        <x:v>Adjusted free cash flow</x:v>
      </x:c>
      <x:c r="C17" s="56" t="str">
        <x:v>EUR mm</x:v>
      </x:c>
      <x:c r="D17" s="57"/>
      <x:c r="E17" s="57" t="n">
        <x:v>3800</x:v>
      </x:c>
      <x:c r="F17" s="57" t="n">
        <x:v>3880</x:v>
      </x:c>
      <x:c r="G17" s="58" t="str">
        <x:v>S3</x:v>
      </x:c>
      <x:c r="H17" s="58" t="str">
        <x:v>2024 rounded to EUR3.8bn</x:v>
      </x:c>
    </x:row>
    <x:row r="18">
      <x:c r="A18" s="56" t="str">
        <x:v>Hermes</x:v>
      </x:c>
      <x:c r="B18" s="56" t="str">
        <x:v>Net cash / (debt)</x:v>
      </x:c>
      <x:c r="C18" s="56" t="str">
        <x:v>EUR mm</x:v>
      </x:c>
      <x:c r="D18" s="57"/>
      <x:c r="E18" s="57"/>
      <x:c r="F18" s="57" t="n">
        <x:v>12239</x:v>
      </x:c>
      <x:c r="G18" s="58" t="str">
        <x:v>S3</x:v>
      </x:c>
      <x:c r="H18" s="58" t="str">
        <x:v>Positive denotes net cash</x:v>
      </x:c>
    </x:row>
    <x:row r="19">
      <x:c r="A19" s="62" t="str">
        <x:v>Moncler</x:v>
      </x:c>
      <x:c r="B19" s="62" t="str">
        <x:v>Revenue</x:v>
      </x:c>
      <x:c r="C19" s="62" t="str">
        <x:v>EUR mm</x:v>
      </x:c>
      <x:c r="D19" s="63" t="n">
        <x:v>2984.2</x:v>
      </x:c>
      <x:c r="E19" s="63" t="n">
        <x:v>3108.9</x:v>
      </x:c>
      <x:c r="F19" s="63" t="n">
        <x:v>3132.1</x:v>
      </x:c>
      <x:c r="G19" s="64" t="str">
        <x:v>S4</x:v>
      </x:c>
      <x:c r="H19" s="64" t="str">
        <x:v>Reported revenue</x:v>
      </x:c>
    </x:row>
    <x:row r="20">
      <x:c r="A20" s="62" t="str">
        <x:v>Moncler</x:v>
      </x:c>
      <x:c r="B20" s="62" t="str">
        <x:v>EBIT</x:v>
      </x:c>
      <x:c r="C20" s="62" t="str">
        <x:v>EUR mm</x:v>
      </x:c>
      <x:c r="D20" s="63" t="n">
        <x:v>893.8</x:v>
      </x:c>
      <x:c r="E20" s="63" t="n">
        <x:v>916.3</x:v>
      </x:c>
      <x:c r="F20" s="63" t="n">
        <x:v>913.4</x:v>
      </x:c>
      <x:c r="G20" s="64" t="str">
        <x:v>S4</x:v>
      </x:c>
      <x:c r="H20" s="64" t="str">
        <x:v>Reported EBIT</x:v>
      </x:c>
    </x:row>
    <x:row r="21">
      <x:c r="A21" s="62" t="str">
        <x:v>Moncler</x:v>
      </x:c>
      <x:c r="B21" s="62" t="str">
        <x:v>Net result</x:v>
      </x:c>
      <x:c r="C21" s="62" t="str">
        <x:v>EUR mm</x:v>
      </x:c>
      <x:c r="D21" s="63" t="n">
        <x:v>611.9</x:v>
      </x:c>
      <x:c r="E21" s="63" t="n">
        <x:v>639.6</x:v>
      </x:c>
      <x:c r="F21" s="63" t="n">
        <x:v>626.7</x:v>
      </x:c>
      <x:c r="G21" s="64" t="str">
        <x:v>S4</x:v>
      </x:c>
      <x:c r="H21" s="64" t="str">
        <x:v>Reported net result</x:v>
      </x:c>
    </x:row>
    <x:row r="22">
      <x:c r="A22" s="62" t="str">
        <x:v>Moncler</x:v>
      </x:c>
      <x:c r="B22" s="62" t="str">
        <x:v>Free cash flow</x:v>
      </x:c>
      <x:c r="C22" s="62" t="str">
        <x:v>EUR mm</x:v>
      </x:c>
      <x:c r="D22" s="63" t="n">
        <x:v>549.4</x:v>
      </x:c>
      <x:c r="E22" s="63" t="n">
        <x:v>587.5</x:v>
      </x:c>
      <x:c r="F22" s="63" t="n">
        <x:v>529</x:v>
      </x:c>
      <x:c r="G22" s="64" t="str">
        <x:v>S4</x:v>
      </x:c>
      <x:c r="H22" s="64" t="str">
        <x:v>Reported FCF</x:v>
      </x:c>
    </x:row>
    <x:row r="23">
      <x:c r="A23" s="62" t="str">
        <x:v>Moncler</x:v>
      </x:c>
      <x:c r="B23" s="62" t="str">
        <x:v>Net cash / (debt)</x:v>
      </x:c>
      <x:c r="C23" s="62" t="str">
        <x:v>EUR mm</x:v>
      </x:c>
      <x:c r="D23" s="63" t="n">
        <x:v>1033.7</x:v>
      </x:c>
      <x:c r="E23" s="63" t="n">
        <x:v>1308.8</x:v>
      </x:c>
      <x:c r="F23" s="63" t="n">
        <x:v>1458</x:v>
      </x:c>
      <x:c r="G23" s="64" t="str">
        <x:v>S4</x:v>
      </x:c>
      <x:c r="H23" s="64" t="str">
        <x:v>Positive denotes net cash</x:v>
      </x:c>
    </x:row>
    <x:row r="24">
      <x:c r="A24" s="56" t="str">
        <x:v>Brunello Cucinelli</x:v>
      </x:c>
      <x:c r="B24" s="56" t="str">
        <x:v>Revenue</x:v>
      </x:c>
      <x:c r="C24" s="56" t="str">
        <x:v>EUR mm</x:v>
      </x:c>
      <x:c r="D24" s="57" t="n">
        <x:v>1139</x:v>
      </x:c>
      <x:c r="E24" s="57" t="n">
        <x:v>1278.5</x:v>
      </x:c>
      <x:c r="F24" s="57" t="n">
        <x:v>1408</x:v>
      </x:c>
      <x:c r="G24" s="58" t="str">
        <x:v>S5</x:v>
      </x:c>
      <x:c r="H24" s="58" t="str">
        <x:v>Reported revenue</x:v>
      </x:c>
    </x:row>
    <x:row r="25">
      <x:c r="A25" s="56" t="str">
        <x:v>Brunello Cucinelli</x:v>
      </x:c>
      <x:c r="B25" s="56" t="str">
        <x:v>EBIT</x:v>
      </x:c>
      <x:c r="C25" s="56" t="str">
        <x:v>EUR mm</x:v>
      </x:c>
      <x:c r="D25" s="57" t="n">
        <x:v>187.4</x:v>
      </x:c>
      <x:c r="E25" s="57" t="n">
        <x:v>211.7</x:v>
      </x:c>
      <x:c r="F25" s="57" t="n">
        <x:v>227.8</x:v>
      </x:c>
      <x:c r="G25" s="58" t="str">
        <x:v>S5</x:v>
      </x:c>
      <x:c r="H25" s="58" t="str">
        <x:v>FY2023 derived from official comparative tables</x:v>
      </x:c>
    </x:row>
    <x:row r="26">
      <x:c r="A26" s="56" t="str">
        <x:v>Brunello Cucinelli</x:v>
      </x:c>
      <x:c r="B26" s="56" t="str">
        <x:v>Net income</x:v>
      </x:c>
      <x:c r="C26" s="56" t="str">
        <x:v>EUR mm</x:v>
      </x:c>
      <x:c r="D26" s="57" t="n">
        <x:v>107.5</x:v>
      </x:c>
      <x:c r="E26" s="57" t="n">
        <x:v>128.5</x:v>
      </x:c>
      <x:c r="F26" s="57" t="n">
        <x:v>142</x:v>
      </x:c>
      <x:c r="G26" s="58" t="str">
        <x:v>S5</x:v>
      </x:c>
      <x:c r="H26" s="58" t="str">
        <x:v>Reported/official comparative figures</x:v>
      </x:c>
    </x:row>
    <x:row r="27">
      <x:c r="A27" s="56" t="str">
        <x:v>Brunello Cucinelli</x:v>
      </x:c>
      <x:c r="B27" s="56" t="str">
        <x:v>Free cash flow</x:v>
      </x:c>
      <x:c r="C27" s="56" t="str">
        <x:v>EUR mm</x:v>
      </x:c>
      <x:c r="D27" s="57"/>
      <x:c r="E27" s="57"/>
      <x:c r="F27" s="57"/>
      <x:c r="G27" s="58" t="str">
        <x:v>S5</x:v>
      </x:c>
      <x:c r="H27" s="58" t="str">
        <x:v>Not used in the ranking due to inconsistent disclosure</x:v>
      </x:c>
    </x:row>
    <x:row r="28">
      <x:c r="A28" s="56" t="str">
        <x:v>Brunello Cucinelli</x:v>
      </x:c>
      <x:c r="B28" s="56" t="str">
        <x:v>Net cash / (debt)</x:v>
      </x:c>
      <x:c r="C28" s="56" t="str">
        <x:v>EUR mm</x:v>
      </x:c>
      <x:c r="D28" s="57"/>
      <x:c r="E28" s="57" t="n">
        <x:v>-103.6</x:v>
      </x:c>
      <x:c r="F28" s="57" t="n">
        <x:v>-198.4</x:v>
      </x:c>
      <x:c r="G28" s="58" t="str">
        <x:v>S5</x:v>
      </x:c>
      <x:c r="H28" s="58" t="str">
        <x:v>Negative denotes net financial debt excluding IFRS 16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8" hidden="0" customWidth="1"/>
  </x:cols>
  <x:sheetData>
    <x:row r="1" ht="30" customHeight="1">
      <x:c r="A1" s="5" t="str">
        <x:v>Operating quality screen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3">
      <x:c r="A3" s="44" t="str">
        <x:v>Company</x:v>
      </x:c>
      <x:c r="B3" s="44" t="str">
        <x:v>Revenue CAGR
2023-25</x:v>
      </x:c>
      <x:c r="C3" s="44" t="str">
        <x:v>EBIT margin
2025</x:v>
      </x:c>
      <x:c r="D3" s="44" t="str">
        <x:v>Net margin
2025</x:v>
      </x:c>
      <x:c r="E3" s="44" t="str">
        <x:v>Net cash / revenue
2025</x:v>
      </x:c>
      <x:c r="F3" s="44" t="str">
        <x:v>EBIT margin change
2023-25</x:v>
      </x:c>
      <x:c r="G3" s="44" t="str">
        <x:v>Growth score</x:v>
      </x:c>
      <x:c r="H3" s="44" t="str">
        <x:v>EBIT margin score</x:v>
      </x:c>
      <x:c r="I3" s="44" t="str">
        <x:v>Net margin score</x:v>
      </x:c>
      <x:c r="J3" s="44" t="str">
        <x:v>Balance sheet score</x:v>
      </x:c>
      <x:c r="K3" s="44" t="str">
        <x:v>Momentum score</x:v>
      </x:c>
      <x:c r="L3" s="44" t="str">
        <x:v>Weighted score</x:v>
      </x:c>
      <x:c r="M3" s="44" t="str">
        <x:v>Rank</x:v>
      </x:c>
    </x:row>
    <x:row r="4">
      <x:c r="A4" t="str">
        <x:v>Ferrari</x:v>
      </x:c>
      <x:c r="B4" s="72" t="n">
        <x:f>('Historical Financials'!F4/'Historical Financials'!D4)^(1/2)-1</x:f>
        <x:v>0.09406806215295194</x:v>
      </x:c>
      <x:c r="C4" s="72" t="n">
        <x:f>'Historical Financials'!F5/'Historical Financials'!F4</x:f>
        <x:v>0.2952700811642877</x:v>
      </x:c>
      <x:c r="D4" s="72" t="n">
        <x:f>'Historical Financials'!F6/'Historical Financials'!F4</x:f>
        <x:v>0.22390148334732718</x:v>
      </x:c>
      <x:c r="E4" s="72" t="n">
        <x:f>'Historical Financials'!F8/'Historical Financials'!F4</x:f>
        <x:v>-0.004478029666946544</x:v>
      </x:c>
      <x:c r="F4" s="72" t="n">
        <x:f>('Historical Financials'!F5/'Historical Financials'!F4)-('Historical Financials'!D5/'Historical Financials'!D4)</x:f>
        <x:v>0.024415809807503797</x:v>
      </x:c>
      <x:c r="G4" s="74" t="n">
        <x:f>IF(MAX($B$4:$B$8)=MIN($B$4:$B$8),50,100*(B4-MIN($B$4:$B$8))/(MAX($B$4:$B$8)-MIN($B$4:$B$8)))</x:f>
        <x:v>87.60796939907608</x:v>
      </x:c>
      <x:c r="H4" s="74" t="n">
        <x:f>IF(MAX($C$4:$C$8)=MIN($C$4:$C$8),50,100*(C4-MIN($C$4:$C$8))/(MAX($C$4:$C$8)-MIN($C$4:$C$8)))</x:f>
        <x:v>53.66659292662214</x:v>
      </x:c>
      <x:c r="I4" s="74" t="n">
        <x:f>IF(MAX($D$4:$D$8)=MIN($D$4:$D$8),50,100*(D4-MIN($D$4:$D$8))/(MAX($D$4:$D$8)-MIN($D$4:$D$8)))</x:f>
        <x:v>67.66061526727202</x:v>
      </x:c>
      <x:c r="J4" s="74" t="n">
        <x:f>IF(MAX($E$4:$E$8)=MIN($E$4:$E$8),50,100*(E4-MIN($E$4:$E$8))/(MAX($E$4:$E$8)-MIN($E$4:$E$8)))</x:f>
        <x:v>15.062756033424094</x:v>
      </x:c>
      <x:c r="K4" s="74" t="n">
        <x:f>IF(MAX($F$4:$F$8)=MIN($F$4:$F$8),50,100*(F4-MIN($F$4:$F$8))/(MAX($F$4:$F$8)-MIN($F$4:$F$8)))</x:f>
        <x:v>100</x:v>
      </x:c>
      <x:c r="L4" s="74" t="n">
        <x:f>G4*25%+H4*25%+I4*20%+J4*15%+K4*15%</x:f>
        <x:v>66.11017703989258</x:v>
      </x:c>
      <x:c r="M4" s="76" t="n">
        <x:f>RANK(L4,$L$4:$L$8,0)</x:f>
        <x:v>2</x:v>
      </x:c>
    </x:row>
    <x:row r="5">
      <x:c r="A5" t="str">
        <x:v>LVMH</x:v>
      </x:c>
      <x:c r="B5" s="72" t="n">
        <x:f>('Historical Financials'!F9/'Historical Financials'!D9)^(1/2)-1</x:f>
        <x:v>-0.03152304888420421</x:v>
      </x:c>
      <x:c r="C5" s="72" t="n">
        <x:f>'Historical Financials'!F10/'Historical Financials'!F9</x:f>
        <x:v>0.21972106376922793</x:v>
      </x:c>
      <x:c r="D5" s="72" t="n">
        <x:f>'Historical Financials'!F11/'Historical Financials'!F9</x:f>
        <x:v>0.13461705050305048</x:v>
      </x:c>
      <x:c r="E5" s="72" t="n">
        <x:f>'Historical Financials'!F13/'Historical Financials'!F9</x:f>
        <x:v>-0.08485650995582066</x:v>
      </x:c>
      <x:c r="F5" s="72" t="n">
        <x:f>('Historical Financials'!F10/'Historical Financials'!F9)-('Historical Financials'!D10/'Historical Financials'!D9)</x:f>
        <x:v>-0.04494760708378939</x:v>
      </x:c>
      <x:c r="G5" s="74" t="n">
        <x:f>IF(MAX($B$4:$B$8)=MIN($B$4:$B$8),50,100*(B5-MIN($B$4:$B$8))/(MAX($B$4:$B$8)-MIN($B$4:$B$8)))</x:f>
        <x:v>0</x:v>
      </x:c>
      <x:c r="H5" s="74" t="n">
        <x:f>IF(MAX($C$4:$C$8)=MIN($C$4:$C$8),50,100*(C5-MIN($C$4:$C$8))/(MAX($C$4:$C$8)-MIN($C$4:$C$8)))</x:f>
        <x:v>23.29163792372644</x:v>
      </x:c>
      <x:c r="I5" s="74" t="n">
        <x:f>IF(MAX($D$4:$D$8)=MIN($D$4:$D$8),50,100*(D5-MIN($D$4:$D$8))/(MAX($D$4:$D$8)-MIN($D$4:$D$8)))</x:f>
        <x:v>18.566113729294436</x:v>
      </x:c>
      <x:c r="J5" s="74" t="n">
        <x:f>IF(MAX($E$4:$E$8)=MIN($E$4:$E$8),50,100*(E5-MIN($E$4:$E$8))/(MAX($E$4:$E$8)-MIN($E$4:$E$8)))</x:f>
        <x:v>6.188520006044288</x:v>
      </x:c>
      <x:c r="K5" s="74" t="n">
        <x:f>IF(MAX($F$4:$F$8)=MIN($F$4:$F$8),50,100*(F5-MIN($F$4:$F$8))/(MAX($F$4:$F$8)-MIN($F$4:$F$8)))</x:f>
        <x:v>0</x:v>
      </x:c>
      <x:c r="L5" s="74" t="n">
        <x:f>G5*25%+H5*25%+I5*20%+J5*15%+K5*15%</x:f>
        <x:v>10.46441022769714</x:v>
      </x:c>
      <x:c r="M5" s="76" t="n">
        <x:f>RANK(L5,$L$4:$L$8,0)</x:f>
        <x:v>5</x:v>
      </x:c>
    </x:row>
    <x:row r="6">
      <x:c r="A6" t="str">
        <x:v>Hermes</x:v>
      </x:c>
      <x:c r="B6" s="72" t="n">
        <x:f>('Historical Financials'!F14/'Historical Financials'!D14)^(1/2)-1</x:f>
        <x:v>0.09168574288912357</x:v>
      </x:c>
      <x:c r="C6" s="72" t="n">
        <x:f>'Historical Financials'!F15/'Historical Financials'!F14</x:f>
        <x:v>0.41051118610173726</x:v>
      </x:c>
      <x:c r="D6" s="72" t="n">
        <x:f>'Historical Financials'!F16/'Historical Financials'!F14</x:f>
        <x:v>0.2827146606674166</x:v>
      </x:c>
      <x:c r="E6" s="72" t="n">
        <x:f>'Historical Financials'!F18/'Historical Financials'!F14</x:f>
        <x:v>0.7648418947631546</x:v>
      </x:c>
      <x:c r="F6" s="72" t="n">
        <x:f>('Historical Financials'!F15/'Historical Financials'!F14)-('Historical Financials'!D15/'Historical Financials'!D14)</x:f>
        <x:v>-0.010282736591343822</x:v>
      </x:c>
      <x:c r="G6" s="74" t="n">
        <x:f>IF(MAX($B$4:$B$8)=MIN($B$4:$B$8),50,100*(B6-MIN($B$4:$B$8))/(MAX($B$4:$B$8)-MIN($B$4:$B$8)))</x:f>
        <x:v>85.946146747451</x:v>
      </x:c>
      <x:c r="H6" s="74" t="n">
        <x:f>IF(MAX($C$4:$C$8)=MIN($C$4:$C$8),50,100*(C6-MIN($C$4:$C$8))/(MAX($C$4:$C$8)-MIN($C$4:$C$8)))</x:f>
        <x:v>100</x:v>
      </x:c>
      <x:c r="I6" s="74" t="n">
        <x:f>IF(MAX($D$4:$D$8)=MIN($D$4:$D$8),50,100*(D6-MIN($D$4:$D$8))/(MAX($D$4:$D$8)-MIN($D$4:$D$8)))</x:f>
        <x:v>100</x:v>
      </x:c>
      <x:c r="J6" s="74" t="n">
        <x:f>IF(MAX($E$4:$E$8)=MIN($E$4:$E$8),50,100*(E6-MIN($E$4:$E$8))/(MAX($E$4:$E$8)-MIN($E$4:$E$8)))</x:f>
        <x:v>100</x:v>
      </x:c>
      <x:c r="K6" s="74" t="n">
        <x:f>IF(MAX($F$4:$F$8)=MIN($F$4:$F$8),50,100*(F6-MIN($F$4:$F$8))/(MAX($F$4:$F$8)-MIN($F$4:$F$8)))</x:f>
        <x:v>49.975725023426385</x:v>
      </x:c>
      <x:c r="L6" s="74" t="n">
        <x:f>G6*25%+H6*25%+I6*20%+J6*15%+K6*15%</x:f>
        <x:v>88.98289544037671</x:v>
      </x:c>
      <x:c r="M6" s="76" t="n">
        <x:f>RANK(L6,$L$4:$L$8,0)</x:f>
        <x:v>1</x:v>
      </x:c>
    </x:row>
    <x:row r="7">
      <x:c r="A7" t="str">
        <x:v>Moncler</x:v>
      </x:c>
      <x:c r="B7" s="72" t="n">
        <x:f>('Historical Financials'!F19/'Historical Financials'!D19)^(1/2)-1</x:f>
        <x:v>0.02448085456940774</x:v>
      </x:c>
      <x:c r="C7" s="72" t="n">
        <x:f>'Historical Financials'!F20/'Historical Financials'!F19</x:f>
        <x:v>0.29162542702978833</x:v>
      </x:c>
      <x:c r="D7" s="72" t="n">
        <x:f>'Historical Financials'!F21/'Historical Financials'!F19</x:f>
        <x:v>0.20008939689026534</x:v>
      </x:c>
      <x:c r="E7" s="72" t="n">
        <x:f>'Historical Financials'!F23/'Historical Financials'!F19</x:f>
        <x:v>0.46550237859583027</x:v>
      </x:c>
      <x:c r="F7" s="72" t="n">
        <x:f>('Historical Financials'!F20/'Historical Financials'!F19)-('Historical Financials'!D20/'Historical Financials'!D19)</x:f>
        <x:v>-0.00788532962191063</x:v>
      </x:c>
      <x:c r="G7" s="74" t="n">
        <x:f>IF(MAX($B$4:$B$8)=MIN($B$4:$B$8),50,100*(B7-MIN($B$4:$B$8))/(MAX($B$4:$B$8)-MIN($B$4:$B$8)))</x:f>
        <x:v>39.06636560083692</x:v>
      </x:c>
      <x:c r="H7" s="74" t="n">
        <x:f>IF(MAX($C$4:$C$8)=MIN($C$4:$C$8),50,100*(C7-MIN($C$4:$C$8))/(MAX($C$4:$C$8)-MIN($C$4:$C$8)))</x:f>
        <x:v>52.20123693452983</x:v>
      </x:c>
      <x:c r="I7" s="74" t="n">
        <x:f>IF(MAX($D$4:$D$8)=MIN($D$4:$D$8),50,100*(D7-MIN($D$4:$D$8))/(MAX($D$4:$D$8)-MIN($D$4:$D$8)))</x:f>
        <x:v>54.56715117787544</x:v>
      </x:c>
      <x:c r="J7" s="74" t="n">
        <x:f>IF(MAX($E$4:$E$8)=MIN($E$4:$E$8),50,100*(E7-MIN($E$4:$E$8))/(MAX($E$4:$E$8)-MIN($E$4:$E$8)))</x:f>
        <x:v>66.95123484241583</x:v>
      </x:c>
      <x:c r="K7" s="74" t="n">
        <x:f>IF(MAX($F$4:$F$8)=MIN($F$4:$F$8),50,100*(F7-MIN($F$4:$F$8))/(MAX($F$4:$F$8)-MIN($F$4:$F$8)))</x:f>
        <x:v>53.4320238577102</x:v>
      </x:c>
      <x:c r="L7" s="74" t="n">
        <x:f>G7*25%+H7*25%+I7*20%+J7*15%+K7*15%</x:f>
        <x:v>51.78781967443568</x:v>
      </x:c>
      <x:c r="M7" s="76" t="n">
        <x:f>RANK(L7,$L$4:$L$8,0)</x:f>
        <x:v>3</x:v>
      </x:c>
    </x:row>
    <x:row r="8">
      <x:c r="A8" t="str">
        <x:v>Brunello Cucinelli</x:v>
      </x:c>
      <x:c r="B8" s="72" t="n">
        <x:f>('Historical Financials'!F24/'Historical Financials'!D24)^(1/2)-1</x:f>
        <x:v>0.11183275755511346</x:v>
      </x:c>
      <x:c r="C8" s="72" t="n">
        <x:f>'Historical Financials'!F25/'Historical Financials'!F24</x:f>
        <x:v>0.16178977272727274</x:v>
      </x:c>
      <x:c r="D8" s="72" t="n">
        <x:f>'Historical Financials'!F26/'Historical Financials'!F24</x:f>
        <x:v>0.10085227272727272</x:v>
      </x:c>
      <x:c r="E8" s="72" t="n">
        <x:f>'Historical Financials'!F28/'Historical Financials'!F24</x:f>
        <x:v>-0.1409090909090909</x:v>
      </x:c>
      <x:c r="F8" s="72" t="n">
        <x:f>('Historical Financials'!F25/'Historical Financials'!F24)-('Historical Financials'!D25/'Historical Financials'!D24)</x:f>
        <x:v>-0.00274051700055869</x:v>
      </x:c>
      <x:c r="G8" s="74" t="n">
        <x:f>IF(MAX($B$4:$B$8)=MIN($B$4:$B$8),50,100*(B8-MIN($B$4:$B$8))/(MAX($B$4:$B$8)-MIN($B$4:$B$8)))</x:f>
        <x:v>100</x:v>
      </x:c>
      <x:c r="H8" s="74" t="n">
        <x:f>IF(MAX($C$4:$C$8)=MIN($C$4:$C$8),50,100*(C8-MIN($C$4:$C$8))/(MAX($C$4:$C$8)-MIN($C$4:$C$8)))</x:f>
        <x:v>0</x:v>
      </x:c>
      <x:c r="I8" s="74" t="n">
        <x:f>IF(MAX($D$4:$D$8)=MIN($D$4:$D$8),50,100*(D8-MIN($D$4:$D$8))/(MAX($D$4:$D$8)-MIN($D$4:$D$8)))</x:f>
        <x:v>0</x:v>
      </x:c>
      <x:c r="J8" s="74" t="n">
        <x:f>IF(MAX($E$4:$E$8)=MIN($E$4:$E$8),50,100*(E8-MIN($E$4:$E$8))/(MAX($E$4:$E$8)-MIN($E$4:$E$8)))</x:f>
        <x:v>0</x:v>
      </x:c>
      <x:c r="K8" s="74" t="n">
        <x:f>IF(MAX($F$4:$F$8)=MIN($F$4:$F$8),50,100*(F8-MIN($F$4:$F$8))/(MAX($F$4:$F$8)-MIN($F$4:$F$8)))</x:f>
        <x:v>60.84920837936507</x:v>
      </x:c>
      <x:c r="L8" s="74" t="n">
        <x:f>G8*25%+H8*25%+I8*20%+J8*15%+K8*15%</x:f>
        <x:v>34.12738125690476</x:v>
      </x:c>
      <x:c r="M8" s="76" t="n">
        <x:f>RANK(L8,$L$4:$L$8,0)</x:f>
        <x:v>4</x:v>
      </x:c>
    </x:row>
    <x:row r="11" ht="21" customHeight="1">
      <x:c r="A11" s="13" t="str">
        <x:v>Weighting and interpretation</x:v>
      </x:c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</x:row>
    <x:row r="12">
      <x:c r="A12" s="82" t="str">
        <x:v>Metric</x:v>
      </x:c>
      <x:c r="B12" s="82" t="str">
        <x:v>Weight</x:v>
      </x:c>
      <x:c r="C12" s="82" t="str">
        <x:v>Rationale</x:v>
      </x:c>
    </x:row>
    <x:row r="13">
      <x:c r="A13" t="str">
        <x:v>Revenue CAGR</x:v>
      </x:c>
      <x:c r="B13" s="90" t="n">
        <x:v>0.25</x:v>
      </x:c>
      <x:c r="C13" t="str">
        <x:v>Captures growth through the 2023-2025 period</x:v>
      </x:c>
    </x:row>
    <x:row r="14">
      <x:c r="A14" t="str">
        <x:v>EBIT margin</x:v>
      </x:c>
      <x:c r="B14" s="90" t="n">
        <x:v>0.25</x:v>
      </x:c>
      <x:c r="C14" t="str">
        <x:v>Operating quality and pricing power</x:v>
      </x:c>
    </x:row>
    <x:row r="15">
      <x:c r="A15" t="str">
        <x:v>Net margin</x:v>
      </x:c>
      <x:c r="B15" s="90" t="n">
        <x:v>0.2</x:v>
      </x:c>
      <x:c r="C15" t="str">
        <x:v>Bottom-line conversion</x:v>
      </x:c>
    </x:row>
    <x:row r="16">
      <x:c r="A16" t="str">
        <x:v>Net cash / revenue</x:v>
      </x:c>
      <x:c r="B16" s="90" t="n">
        <x:v>0.15</x:v>
      </x:c>
      <x:c r="C16" t="str">
        <x:v>Balance-sheet resilience</x:v>
      </x:c>
    </x:row>
    <x:row r="17">
      <x:c r="A17" t="str">
        <x:v>EBIT margin change</x:v>
      </x:c>
      <x:c r="B17" s="90" t="n">
        <x:v>0.15</x:v>
      </x:c>
      <x:c r="C17" t="str">
        <x:v>Direction of operating momentum</x:v>
      </x:c>
    </x:row>
    <x:row r="19">
      <x:c r="A19" s="94" t="str">
        <x:v>Interpretation: a high score means stronger operating quality within this five-company peer set. The model does not incorporate stock price, valuation multiples, governance, currency, or portfolio fit. Min-max scores are sensitive to outliers and should support, not replace, fundamental judgment.</x:v>
      </x:c>
      <x:c r="B19" s="94"/>
      <x:c r="C19" s="94"/>
      <x:c r="D19" s="94"/>
      <x:c r="E19" s="94"/>
      <x:c r="F19" s="94"/>
      <x:c r="G19" s="94"/>
      <x:c r="H19" s="94"/>
      <x:c r="I19" s="94"/>
      <x:c r="J19" s="94"/>
      <x:c r="K19" s="94"/>
      <x:c r="L19" s="94"/>
      <x:c r="M19" s="94"/>
    </x:row>
    <x:row r="20">
      <x:c r="A20" s="94"/>
      <x:c r="B20" s="94"/>
      <x:c r="C20" s="94"/>
      <x:c r="D20" s="94"/>
      <x:c r="E20" s="94"/>
      <x:c r="F20" s="94"/>
      <x:c r="G20" s="94"/>
      <x:c r="H20" s="94"/>
      <x:c r="I20" s="94"/>
      <x:c r="J20" s="94"/>
      <x:c r="K20" s="94"/>
      <x:c r="L20" s="94"/>
      <x:c r="M20" s="94"/>
    </x:row>
    <x:row r="21">
      <x:c r="A21" s="94"/>
      <x:c r="B21" s="94"/>
      <x:c r="C21" s="94"/>
      <x:c r="D21" s="94"/>
      <x:c r="E21" s="94"/>
      <x:c r="F21" s="94"/>
      <x:c r="G21" s="94"/>
      <x:c r="H21" s="94"/>
      <x:c r="I21" s="94"/>
      <x:c r="J21" s="94"/>
      <x:c r="K21" s="94"/>
      <x:c r="L21" s="94"/>
      <x:c r="M21" s="94"/>
    </x:row>
    <x:row r="22">
      <x:c r="A22" s="94"/>
      <x:c r="B22" s="94"/>
      <x:c r="C22" s="94"/>
      <x:c r="D22" s="94"/>
      <x:c r="E22" s="94"/>
      <x:c r="F22" s="94"/>
      <x:c r="G22" s="94"/>
      <x:c r="H22" s="94"/>
      <x:c r="I22" s="94"/>
      <x:c r="J22" s="94"/>
      <x:c r="K22" s="94"/>
      <x:c r="L22" s="94"/>
      <x:c r="M22" s="94"/>
    </x:row>
  </x:sheetData>
  <x:mergeCells>
    <x:mergeCell ref="A1:M1"/>
    <x:mergeCell ref="A11:M11"/>
    <x:mergeCell ref="A19:M22"/>
  </x:mergeCells>
  <x:conditionalFormatting sqref="L4:L8">
    <x:cfRule type="colorScale" priority="1">
      <x:colorScale>
        <x:cfvo type="min"/>
        <x:cfvo type="percentile" val="50"/>
        <x:cfvo type="max"/>
        <x:color rgb="FFF8CBAD"/>
        <x:color rgb="FFFFE699"/>
        <x:color rgb="FFC6E0B4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8" hidden="0" customWidth="1"/>
    <x:col min="10" max="10" width="14" hidden="0" customWidth="1"/>
  </x:cols>
  <x:sheetData>
    <x:row r="1" ht="30" customHeight="1">
      <x:c r="A1" s="5" t="str">
        <x:v>Illustrative Ferrari discounted cash flow</x:v>
      </x:c>
      <x:c r="B1" s="5"/>
      <x:c r="C1" s="5"/>
      <x:c r="D1" s="5"/>
      <x:c r="E1" s="5"/>
      <x:c r="F1" s="5"/>
      <x:c r="G1" s="5"/>
      <x:c r="H1" s="5"/>
      <x:c r="I1" s="5"/>
    </x:row>
    <x:row r="3" ht="21" customHeight="1">
      <x:c r="A3" s="13" t="str">
        <x:v>Key assumptions</x:v>
      </x:c>
      <x:c r="B3" s="13"/>
      <x:c r="C3" s="13"/>
      <x:c r="D3" s="13"/>
    </x:row>
    <x:row r="4">
      <x:c r="A4" s="82" t="str">
        <x:v>Assumption</x:v>
      </x:c>
      <x:c r="B4" s="82" t="str">
        <x:v>Value</x:v>
      </x:c>
      <x:c r="C4" s="82" t="str">
        <x:v>Unit</x:v>
      </x:c>
      <x:c r="D4" s="82" t="str">
        <x:v>Comment</x:v>
      </x:c>
    </x:row>
    <x:row r="5">
      <x:c r="A5" t="str">
        <x:v>FY2025 industrial FCF</x:v>
      </x:c>
      <x:c r="B5" s="98" t="n">
        <x:v>1538</x:v>
      </x:c>
      <x:c r="C5" t="str">
        <x:v>EUR mm</x:v>
      </x:c>
      <x:c r="D5" t="str">
        <x:v>Reported company-defined industrial FCF</x:v>
      </x:c>
    </x:row>
    <x:row r="6">
      <x:c r="A6" t="str">
        <x:v>WACC</x:v>
      </x:c>
      <x:c r="B6" s="90" t="n">
        <x:v>0.085</x:v>
      </x:c>
      <x:c r="C6" t="str">
        <x:v>%</x:v>
      </x:c>
      <x:c r="D6" t="str">
        <x:v>Illustrative assumption</x:v>
      </x:c>
    </x:row>
    <x:row r="7">
      <x:c r="A7" t="str">
        <x:v>Terminal growth</x:v>
      </x:c>
      <x:c r="B7" s="90" t="n">
        <x:v>0.03</x:v>
      </x:c>
      <x:c r="C7" t="str">
        <x:v>%</x:v>
      </x:c>
      <x:c r="D7" t="str">
        <x:v>Illustrative long-run nominal growth</x:v>
      </x:c>
    </x:row>
    <x:row r="8">
      <x:c r="A8" t="str">
        <x:v>Net industrial debt</x:v>
      </x:c>
      <x:c r="B8" s="98" t="n">
        <x:v>32</x:v>
      </x:c>
      <x:c r="C8" t="str">
        <x:v>EUR mm</x:v>
      </x:c>
      <x:c r="D8" t="str">
        <x:v>Deducted from enterprise value</x:v>
      </x:c>
    </x:row>
    <x:row r="9">
      <x:c r="A9" t="str">
        <x:v>Diluted shares</x:v>
      </x:c>
      <x:c r="B9" s="98" t="n">
        <x:v>179</x:v>
      </x:c>
      <x:c r="C9" t="str">
        <x:v>mm</x:v>
      </x:c>
      <x:c r="D9" t="str">
        <x:v>Rounded illustrative share count</x:v>
      </x:c>
    </x:row>
    <x:row r="10">
      <x:c r="A10" t="str">
        <x:v>Forecast period</x:v>
      </x:c>
      <x:c r="B10" s="88" t="n">
        <x:v>5</x:v>
      </x:c>
      <x:c r="C10" t="str">
        <x:v>years</x:v>
      </x:c>
      <x:c r="D10" t="str">
        <x:v>FY2026-FY2030</x:v>
      </x:c>
    </x:row>
    <x:row r="11">
      <x:c r="A11" t="str">
        <x:v>Currency</x:v>
      </x:c>
      <x:c r="B11" s="88" t="str">
        <x:v>EUR</x:v>
      </x:c>
      <x:c r="C11" t="str"/>
      <x:c r="D11" t="str">
        <x:v>No FX translation</x:v>
      </x:c>
    </x:row>
    <x:row r="12">
      <x:c r="A12" t="str">
        <x:v>Valuation date</x:v>
      </x:c>
      <x:c r="B12" s="88" t="str">
        <x:v>FY2025 year-end</x:v>
      </x:c>
      <x:c r="C12" t="str"/>
      <x:c r="D12" t="str">
        <x:v>Illustrative academic exercise</x:v>
      </x:c>
    </x:row>
    <x:row r="14" ht="21" customHeight="1">
      <x:c r="A14" s="13" t="str">
        <x:v>Free cash flow forecast</x:v>
      </x:c>
      <x:c r="B14" s="13"/>
      <x:c r="C14" s="13"/>
      <x:c r="D14" s="13"/>
      <x:c r="E14" s="13"/>
      <x:c r="F14" s="13"/>
      <x:c r="G14" s="13"/>
      <x:c r="H14" s="13"/>
      <x:c r="I14" s="13"/>
    </x:row>
    <x:row r="15">
      <x:c r="A15" s="44" t="str">
        <x:v>Metric</x:v>
      </x:c>
      <x:c r="B15" s="44" t="str">
        <x:v>FY2025A</x:v>
      </x:c>
      <x:c r="C15" s="44" t="str">
        <x:v>FY2026E</x:v>
      </x:c>
      <x:c r="D15" s="44" t="str">
        <x:v>FY2027E</x:v>
      </x:c>
      <x:c r="E15" s="44" t="str">
        <x:v>FY2028E</x:v>
      </x:c>
      <x:c r="F15" s="44" t="str">
        <x:v>FY2029E</x:v>
      </x:c>
      <x:c r="G15" s="44" t="str">
        <x:v>FY2030E</x:v>
      </x:c>
      <x:c r="H15" s="44" t="str">
        <x:v>Terminal</x:v>
      </x:c>
      <x:c r="I15" s="44" t="str">
        <x:v>Notes</x:v>
      </x:c>
    </x:row>
    <x:row r="16">
      <x:c r="A16" t="str">
        <x:v>FCF growth</x:v>
      </x:c>
      <x:c r="B16"/>
      <x:c r="C16" s="90" t="n">
        <x:v>0.1</x:v>
      </x:c>
      <x:c r="D16" s="90" t="n">
        <x:v>0.09</x:v>
      </x:c>
      <x:c r="E16" s="90" t="n">
        <x:v>0.08</x:v>
      </x:c>
      <x:c r="F16" s="90" t="n">
        <x:v>0.07</x:v>
      </x:c>
      <x:c r="G16" s="90" t="n">
        <x:v>0.06</x:v>
      </x:c>
      <x:c r="H16"/>
      <x:c r="I16" t="str">
        <x:v>Editable scenario assumptions</x:v>
      </x:c>
    </x:row>
    <x:row r="17">
      <x:c r="A17" t="str">
        <x:v>Free cash flow</x:v>
      </x:c>
      <x:c r="B17" s="100" t="n">
        <x:f>B5</x:f>
        <x:v>1538</x:v>
      </x:c>
      <x:c r="C17" s="100" t="n">
        <x:f>B17*(1+C16)</x:f>
        <x:v>1691.8000000000002</x:v>
      </x:c>
      <x:c r="D17" s="100" t="n">
        <x:f>C17*(1+D16)</x:f>
        <x:v>1844.0620000000004</x:v>
      </x:c>
      <x:c r="E17" s="100" t="n">
        <x:f>D17*(1+E16)</x:f>
        <x:v>1991.5869600000005</x:v>
      </x:c>
      <x:c r="F17" s="100" t="n">
        <x:f>E17*(1+F16)</x:f>
        <x:v>2130.9980472000007</x:v>
      </x:c>
      <x:c r="G17" s="100" t="n">
        <x:f>F17*(1+G16)</x:f>
        <x:v>2258.8579300320007</x:v>
      </x:c>
      <x:c r="H17" s="101"/>
      <x:c r="I17" t="str">
        <x:v>EUR mm</x:v>
      </x:c>
    </x:row>
    <x:row r="18">
      <x:c r="A18" t="str">
        <x:v>Discount factor</x:v>
      </x:c>
      <x:c r="B18" s="100"/>
      <x:c r="C18" s="100" t="n">
        <x:f>1/(1+$B$6)^1</x:f>
        <x:v>0.9216589861751152</x:v>
      </x:c>
      <x:c r="D18" s="100" t="n">
        <x:f>1/(1+$B$6)^2</x:f>
        <x:v>0.8494552867973413</x:v>
      </x:c>
      <x:c r="E18" s="100" t="n">
        <x:f>1/(1+$B$6)^3</x:f>
        <x:v>0.7829080984307292</x:v>
      </x:c>
      <x:c r="F18" s="100" t="n">
        <x:f>1/(1+$B$6)^4</x:f>
        <x:v>0.7215742842679533</x:v>
      </x:c>
      <x:c r="G18" s="100" t="n">
        <x:f>1/(1+$B$6)^5</x:f>
        <x:v>0.6650454232884362</x:v>
      </x:c>
      <x:c r="H18" s="101"/>
      <x:c r="I18" t="str">
        <x:v>Year-end convention</x:v>
      </x:c>
    </x:row>
    <x:row r="19">
      <x:c r="A19" t="str">
        <x:v>PV of FCF</x:v>
      </x:c>
      <x:c r="B19" s="100"/>
      <x:c r="C19" s="100" t="n">
        <x:f>C17*C18</x:f>
        <x:v>1559.2626728110602</x:v>
      </x:c>
      <x:c r="D19" s="100" t="n">
        <x:f>D17*D18</x:f>
        <x:v>1566.448215082079</x:v>
      </x:c>
      <x:c r="E19" s="100" t="n">
        <x:f>E17*E18</x:f>
        <x:v>1559.2295597130371</x:v>
      </x:c>
      <x:c r="F19" s="100" t="n">
        <x:f>F17*F18</x:f>
        <x:v>1537.6733906847467</x:v>
      </x:c>
      <x:c r="G19" s="100" t="n">
        <x:f>G17*G18</x:f>
        <x:v>1502.2431282265727</x:v>
      </x:c>
      <x:c r="H19" s="101"/>
      <x:c r="I19" t="str">
        <x:v>EUR mm</x:v>
      </x:c>
    </x:row>
    <x:row r="20">
      <x:c r="A20" t="str">
        <x:v>Terminal value</x:v>
      </x:c>
      <x:c r="B20" s="100"/>
      <x:c r="C20" s="100"/>
      <x:c r="D20" s="100"/>
      <x:c r="E20" s="100"/>
      <x:c r="F20" s="100"/>
      <x:c r="G20" s="100"/>
      <x:c r="H20" s="101" t="n">
        <x:f>G17*(1+$B$7)/($B$6-$B$7)</x:f>
        <x:v>42302.24850787201</x:v>
      </x:c>
      <x:c r="I20" t="str">
        <x:v>Gordon growth</x:v>
      </x:c>
    </x:row>
    <x:row r="22" ht="21" customHeight="1">
      <x:c r="A22" s="13" t="str">
        <x:v>Valuation bridge</x:v>
      </x:c>
      <x:c r="B22" s="13"/>
      <x:c r="C22" s="13"/>
      <x:c r="D22" s="13"/>
      <x:c r="E22" s="13" t="str">
        <x:v>Sensitivity: implied value per share (EUR)</x:v>
      </x:c>
      <x:c r="F22" s="13"/>
      <x:c r="G22" s="13"/>
      <x:c r="H22" s="13"/>
      <x:c r="I22" s="13"/>
    </x:row>
    <x:row r="23">
      <x:c r="A23" t="str">
        <x:v>PV of forecast FCF</x:v>
      </x:c>
      <x:c r="B23" s="100" t="n">
        <x:f>SUM(C19:G19)</x:f>
        <x:v>7724.8569665174955</x:v>
      </x:c>
      <x:c r="E23" s="82" t="str">
        <x:v>WACC / g</x:v>
      </x:c>
      <x:c r="F23" s="124" t="n">
        <x:v>0.02</x:v>
      </x:c>
      <x:c r="G23" s="124" t="n">
        <x:v>0.025</x:v>
      </x:c>
      <x:c r="H23" s="124" t="n">
        <x:v>0.03</x:v>
      </x:c>
      <x:c r="I23" s="124" t="n">
        <x:v>0.035</x:v>
      </x:c>
      <x:c r="J23" s="124" t="n">
        <x:v>0.04</x:v>
      </x:c>
    </x:row>
    <x:row r="24">
      <x:c r="A24" t="str">
        <x:v>PV of terminal value</x:v>
      </x:c>
      <x:c r="B24" s="100" t="n">
        <x:f>H20*G18</x:f>
        <x:v>28132.91676497036</x:v>
      </x:c>
      <x:c r="E24" s="124" t="n">
        <x:v>0.075</x:v>
      </x:c>
      <x:c r="F24" s="126" t="n">
        <x:f>((SUM($C$19:$G$19)+($G$17*(1+F$23)/($E24-F$23))*$G$18)-$B$8)/$B$9</x:f>
        <x:v>198.61809283388183</x:v>
      </x:c>
      <x:c r="G24" s="126" t="n">
        <x:f>((SUM($C$19:$G$19)+($G$17*(1+G$23)/($E24-G$23))*$G$18)-$B$8)/$B$9</x:f>
        <x:v>215.02145863219127</x:v>
      </x:c>
      <x:c r="H24" s="126" t="n">
        <x:f>((SUM($C$19:$G$19)+($G$17*(1+H$23)/($E24-H$23))*$G$18)-$B$8)/$B$9</x:f>
        <x:v>235.070016830125</x:v>
      </x:c>
      <x:c r="I24" s="126" t="n">
        <x:f>((SUM($C$19:$G$19)+($G$17*(1+I$23)/($E24-I$23))*$G$18)-$B$8)/$B$9</x:f>
        <x:v>260.1307145775423</x:v>
      </x:c>
      <x:c r="J24" s="126" t="n">
        <x:f>((SUM($C$19:$G$19)+($G$17*(1+J$23)/($E24-J$23))*$G$18)-$B$8)/$B$9</x:f>
        <x:v>292.35161168136443</x:v>
      </x:c>
    </x:row>
    <x:row r="25">
      <x:c r="A25" s="106" t="str">
        <x:v>Enterprise value</x:v>
      </x:c>
      <x:c r="B25" s="107" t="n">
        <x:f>SUM(B23:B24)</x:f>
        <x:v>35857.773731487854</x:v>
      </x:c>
      <x:c r="E25" s="124" t="n">
        <x:v>0.08</x:v>
      </x:c>
      <x:c r="F25" s="126" t="n">
        <x:f>((SUM($C$19:$G$19)+($G$17*(1+F$23)/($E25-F$23))*$G$18)-$B$8)/$B$9</x:f>
        <x:v>185.64798964452086</x:v>
      </x:c>
      <x:c r="G25" s="126" t="n">
        <x:f>((SUM($C$19:$G$19)+($G$17*(1+G$23)/($E25-G$23))*$G$18)-$B$8)/$B$9</x:f>
        <x:v>199.3810400803148</x:v>
      </x:c>
      <x:c r="H25" s="126" t="n">
        <x:f>((SUM($C$19:$G$19)+($G$17*(1+H$23)/($E25-H$23))*$G$18)-$B$8)/$B$9</x:f>
        <x:v>215.86070060326753</x:v>
      </x:c>
      <x:c r="I25" s="126" t="n">
        <x:f>((SUM($C$19:$G$19)+($G$17*(1+I$23)/($E25-I$23))*$G$18)-$B$8)/$B$9</x:f>
        <x:v>236.00250790909868</x:v>
      </x:c>
      <x:c r="J25" s="126" t="n">
        <x:f>((SUM($C$19:$G$19)+($G$17*(1+J$23)/($E25-J$23))*$G$18)-$B$8)/$B$9</x:f>
        <x:v>261.1797670413876</x:v>
      </x:c>
    </x:row>
    <x:row r="26">
      <x:c r="A26" t="str">
        <x:v>Less: net industrial debt</x:v>
      </x:c>
      <x:c r="B26" s="100" t="n">
        <x:f>-B8</x:f>
        <x:v>-32</x:v>
      </x:c>
      <x:c r="E26" s="124" t="n">
        <x:v>0.085</x:v>
      </x:c>
      <x:c r="F26" s="126" t="n">
        <x:f>((SUM($C$19:$G$19)+($G$17*(1+F$23)/($E26-F$23))*$G$18)-$B$8)/$B$9</x:f>
        <x:v>174.67328694583082</x:v>
      </x:c>
      <x:c r="G26" s="126" t="n">
        <x:f>((SUM($C$19:$G$19)+($G$17*(1+G$23)/($E26-G$23))*$G$18)-$B$8)/$B$9</x:f>
        <x:v>186.34735795375104</x:v>
      </x:c>
      <x:c r="H26" s="126" t="n">
        <x:f>((SUM($C$19:$G$19)+($G$17*(1+H$23)/($E26-H$23))*$G$18)-$B$8)/$B$9</x:f>
        <x:v>200.14398732674778</x:v>
      </x:c>
      <x:c r="I26" s="126" t="n">
        <x:f>((SUM($C$19:$G$19)+($G$17*(1+I$23)/($E26-I$23))*$G$18)-$B$8)/$B$9</x:f>
        <x:v>216.69994257434382</x:v>
      </x:c>
      <x:c r="J26" s="126" t="n">
        <x:f>((SUM($C$19:$G$19)+($G$17*(1+J$23)/($E26-J$23))*$G$18)-$B$8)/$B$9</x:f>
        <x:v>236.93499898807232</x:v>
      </x:c>
    </x:row>
    <x:row r="27">
      <x:c r="A27" s="106" t="str">
        <x:v>Equity value</x:v>
      </x:c>
      <x:c r="B27" s="107" t="n">
        <x:f>SUM(B25:B26)</x:f>
        <x:v>35825.773731487854</x:v>
      </x:c>
      <x:c r="E27" s="124" t="n">
        <x:v>0.09</x:v>
      </x:c>
      <x:c r="F27" s="126" t="n">
        <x:f>((SUM($C$19:$G$19)+($G$17*(1+F$23)/($E27-F$23))*$G$18)-$B$8)/$B$9</x:f>
        <x:v>165.2663989183822</x:v>
      </x:c>
      <x:c r="G27" s="126" t="n">
        <x:f>((SUM($C$19:$G$19)+($G$17*(1+G$23)/($E27-G$23))*$G$18)-$B$8)/$B$9</x:f>
        <x:v>175.31885769281254</x:v>
      </x:c>
      <x:c r="H27" s="126" t="n">
        <x:f>((SUM($C$19:$G$19)+($G$17*(1+H$23)/($E27-H$23))*$G$18)-$B$8)/$B$9</x:f>
        <x:v>187.04672626298137</x:v>
      </x:c>
      <x:c r="I27" s="126" t="n">
        <x:f>((SUM($C$19:$G$19)+($G$17*(1+I$23)/($E27-I$23))*$G$18)-$B$8)/$B$9</x:f>
        <x:v>200.9069345731808</x:v>
      </x:c>
      <x:c r="J27" s="126" t="n">
        <x:f>((SUM($C$19:$G$19)+($G$17*(1+J$23)/($E27-J$23))*$G$18)-$B$8)/$B$9</x:f>
        <x:v>217.53918454542014</x:v>
      </x:c>
    </x:row>
    <x:row r="28">
      <x:c r="A28" t="str">
        <x:v>Diluted shares</x:v>
      </x:c>
      <x:c r="B28" s="100" t="n">
        <x:f>B9</x:f>
        <x:v>179</x:v>
      </x:c>
      <x:c r="E28" s="124" t="n">
        <x:v>0.095</x:v>
      </x:c>
      <x:c r="F28" s="126" t="n">
        <x:f>((SUM($C$19:$G$19)+($G$17*(1+F$23)/($E28-F$23))*$G$18)-$B$8)/$B$9</x:f>
        <x:v>157.11376262792675</x:v>
      </x:c>
      <x:c r="G28" s="126" t="n">
        <x:f>((SUM($C$19:$G$19)+($G$17*(1+G$23)/($E28-G$23))*$G$18)-$B$8)/$B$9</x:f>
        <x:v>165.86585746915094</x:v>
      </x:c>
      <x:c r="H28" s="126" t="n">
        <x:f>((SUM($C$19:$G$19)+($G$17*(1+H$23)/($E28-H$23))*$G$18)-$B$8)/$B$9</x:f>
        <x:v>175.96442843979432</x:v>
      </x:c>
      <x:c r="I28" s="126" t="n">
        <x:f>((SUM($C$19:$G$19)+($G$17*(1+I$23)/($E28-I$23))*$G$18)-$B$8)/$B$9</x:f>
        <x:v>187.74609457221158</x:v>
      </x:c>
      <x:c r="J28" s="126" t="n">
        <x:f>((SUM($C$19:$G$19)+($G$17*(1+J$23)/($E28-J$23))*$G$18)-$B$8)/$B$9</x:f>
        <x:v>201.6698818196138</x:v>
      </x:c>
    </x:row>
    <x:row r="29">
      <x:c r="A29" s="114" t="str">
        <x:v>Implied value per share</x:v>
      </x:c>
      <x:c r="B29" s="115" t="n">
        <x:f>B27/B28</x:f>
        <x:v>200.14398732674778</x:v>
      </x:c>
    </x:row>
    <x:row r="32">
      <x:c r="A32" s="130" t="str">
        <x:v>Critical limitation: Ferrari industrial free cash flow is company-defined and can be volatile. This DCF is intentionally simple; it does not model revenue segments, margins, capex, working capital, taxes, pension items, or share-class details. Use it to demonstrate mechanics and sensitivity, not to publish a target price.</x:v>
      </x:c>
      <x:c r="B32" s="130"/>
      <x:c r="C32" s="130"/>
      <x:c r="D32" s="130"/>
      <x:c r="E32" s="130"/>
      <x:c r="F32" s="130"/>
      <x:c r="G32" s="130"/>
      <x:c r="H32" s="130"/>
      <x:c r="I32" s="130"/>
    </x:row>
    <x:row r="33">
      <x:c r="A33" s="130"/>
      <x:c r="B33" s="130"/>
      <x:c r="C33" s="130"/>
      <x:c r="D33" s="130"/>
      <x:c r="E33" s="130"/>
      <x:c r="F33" s="130"/>
      <x:c r="G33" s="130"/>
      <x:c r="H33" s="130"/>
      <x:c r="I33" s="130"/>
    </x:row>
    <x:row r="34">
      <x:c r="A34" s="130"/>
      <x:c r="B34" s="130"/>
      <x:c r="C34" s="130"/>
      <x:c r="D34" s="130"/>
      <x:c r="E34" s="130"/>
      <x:c r="F34" s="130"/>
      <x:c r="G34" s="130"/>
      <x:c r="H34" s="130"/>
      <x:c r="I34" s="130"/>
    </x:row>
    <x:row r="35">
      <x:c r="A35" s="130"/>
      <x:c r="B35" s="130"/>
      <x:c r="C35" s="130"/>
      <x:c r="D35" s="130"/>
      <x:c r="E35" s="130"/>
      <x:c r="F35" s="130"/>
      <x:c r="G35" s="130"/>
      <x:c r="H35" s="130"/>
      <x:c r="I35" s="130"/>
    </x:row>
  </x:sheetData>
  <x:mergeCells>
    <x:mergeCell ref="A1:I1"/>
    <x:mergeCell ref="A3:D3"/>
    <x:mergeCell ref="A14:I14"/>
    <x:mergeCell ref="A22:D22"/>
    <x:mergeCell ref="E22:I22"/>
    <x:mergeCell ref="A32:I35"/>
  </x:mergeCells>
  <x:conditionalFormatting sqref="F24:J28">
    <x:cfRule type="colorScale" priority="1">
      <x:colorScale>
        <x:cfvo type="min"/>
        <x:cfvo type="percentile" val="50"/>
        <x:cfvo type="max"/>
        <x:color rgb="FFF8CBAD"/>
        <x:color rgb="FFFFE699"/>
        <x:color rgb="FFC6E0B4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0" hidden="0" customWidth="1"/>
    <x:col min="4" max="4" width="13" hidden="0" customWidth="1"/>
    <x:col min="5" max="5" width="13" hidden="0" customWidth="1"/>
    <x:col min="6" max="6" width="13" hidden="0" customWidth="1"/>
    <x:col min="7" max="7" width="3" hidden="0" customWidth="1"/>
    <x:col min="8" max="8" width="23" hidden="0" customWidth="1"/>
    <x:col min="9" max="9" width="18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0" customHeight="1">
      <x:c r="A1" s="5" t="str">
        <x:v>Luxury quality screen - interview dashboard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 ht="21" customHeight="1">
      <x:c r="A3" s="13" t="str">
        <x:v>Peer ranking</x:v>
      </x:c>
      <x:c r="B3" s="13"/>
      <x:c r="C3" s="13"/>
      <x:c r="D3" s="13"/>
      <x:c r="E3" s="13"/>
      <x:c r="F3" s="13"/>
      <x:c r="H3" s="13" t="str">
        <x:v>Illustrative Ferrari DCF output</x:v>
      </x:c>
      <x:c r="I3" s="13"/>
      <x:c r="J3" s="13"/>
      <x:c r="K3" s="13"/>
      <x:c r="L3" s="13"/>
      <x:c r="M3" s="13"/>
      <x:c r="N3" s="13"/>
    </x:row>
    <x:row r="4">
      <x:c r="A4" s="82" t="str">
        <x:v>Company</x:v>
      </x:c>
      <x:c r="B4" s="82" t="str">
        <x:v>Weighted score</x:v>
      </x:c>
      <x:c r="C4" s="82" t="str">
        <x:v>Rank</x:v>
      </x:c>
      <x:c r="H4" s="82" t="str">
        <x:v>Metric</x:v>
      </x:c>
      <x:c r="I4" s="82" t="str">
        <x:v>Output</x:v>
      </x:c>
      <x:c r="J4" s="82" t="str">
        <x:v>Unit</x:v>
      </x:c>
    </x:row>
    <x:row r="5">
      <x:c r="A5" t="str">
        <x:v>Ferrari</x:v>
      </x:c>
      <x:c r="B5" s="134" t="n">
        <x:f>'Peer Comparison'!L4</x:f>
        <x:v>66.11017703989258</x:v>
      </x:c>
      <x:c r="C5" s="68" t="n">
        <x:f>'Peer Comparison'!M4</x:f>
        <x:v>2</x:v>
      </x:c>
      <x:c r="H5" t="str">
        <x:v>Enterprise value</x:v>
      </x:c>
      <x:c r="I5" s="140" t="n">
        <x:f>'Ferrari DCF'!B25</x:f>
        <x:v>35857.773731487854</x:v>
      </x:c>
      <x:c r="J5" t="str">
        <x:v>EUR mm</x:v>
      </x:c>
    </x:row>
    <x:row r="6">
      <x:c r="A6" t="str">
        <x:v>LVMH</x:v>
      </x:c>
      <x:c r="B6" s="134" t="n">
        <x:f>'Peer Comparison'!L5</x:f>
        <x:v>10.46441022769714</x:v>
      </x:c>
      <x:c r="C6" s="68" t="n">
        <x:f>'Peer Comparison'!M5</x:f>
        <x:v>5</x:v>
      </x:c>
      <x:c r="H6" t="str">
        <x:v>Equity value</x:v>
      </x:c>
      <x:c r="I6" s="140" t="n">
        <x:f>'Ferrari DCF'!B27</x:f>
        <x:v>35825.773731487854</x:v>
      </x:c>
      <x:c r="J6" t="str">
        <x:v>EUR mm</x:v>
      </x:c>
    </x:row>
    <x:row r="7">
      <x:c r="A7" t="str">
        <x:v>Hermes</x:v>
      </x:c>
      <x:c r="B7" s="134" t="n">
        <x:f>'Peer Comparison'!L6</x:f>
        <x:v>88.98289544037671</x:v>
      </x:c>
      <x:c r="C7" s="68" t="n">
        <x:f>'Peer Comparison'!M6</x:f>
        <x:v>1</x:v>
      </x:c>
      <x:c r="H7" t="str">
        <x:v>Value per share</x:v>
      </x:c>
      <x:c r="I7" s="142" t="n">
        <x:f>'Ferrari DCF'!B29</x:f>
        <x:v>200.14398732674778</x:v>
      </x:c>
      <x:c r="J7" t="str">
        <x:v>EUR</x:v>
      </x:c>
    </x:row>
    <x:row r="8">
      <x:c r="A8" t="str">
        <x:v>Moncler</x:v>
      </x:c>
      <x:c r="B8" s="134" t="n">
        <x:f>'Peer Comparison'!L7</x:f>
        <x:v>51.78781967443568</x:v>
      </x:c>
      <x:c r="C8" s="68" t="n">
        <x:f>'Peer Comparison'!M7</x:f>
        <x:v>3</x:v>
      </x:c>
      <x:c r="H8" t="str">
        <x:v>Base WACC / terminal g</x:v>
      </x:c>
      <x:c r="I8" s="68" t="str">
        <x:f>'Ferrari DCF'!B6&amp;" / "&amp;'Ferrari DCF'!B7</x:f>
        <x:v>0.085 / 0.03</x:v>
      </x:c>
      <x:c r="J8" t="str"/>
    </x:row>
    <x:row r="9">
      <x:c r="A9" t="str">
        <x:v>Brunello Cucinelli</x:v>
      </x:c>
      <x:c r="B9" s="134" t="n">
        <x:f>'Peer Comparison'!L8</x:f>
        <x:v>34.12738125690476</x:v>
      </x:c>
      <x:c r="C9" s="68" t="n">
        <x:f>'Peer Comparison'!M8</x:f>
        <x:v>4</x:v>
      </x:c>
    </x:row>
    <x:row r="11">
      <x:c r="H11" s="146" t="str">
        <x:v>Best interview answer: “I built a transparent quality screen first, then separated operating quality from valuation. That prevented me from calling the best company the best stock without considering price.”</x:v>
      </x:c>
      <x:c r="I11" s="146"/>
      <x:c r="J11" s="146"/>
      <x:c r="K11" s="146"/>
      <x:c r="L11" s="146"/>
      <x:c r="M11" s="146"/>
      <x:c r="N11" s="146"/>
    </x:row>
    <x:row r="12" ht="21" customHeight="1">
      <x:c r="A12" s="13" t="str">
        <x:v>Headline findings</x:v>
      </x:c>
      <x:c r="B12" s="13"/>
      <x:c r="C12" s="13"/>
      <x:c r="D12" s="13"/>
      <x:c r="E12" s="13"/>
      <x:c r="F12" s="13"/>
      <x:c r="H12" s="146"/>
      <x:c r="I12" s="146"/>
      <x:c r="J12" s="146"/>
      <x:c r="K12" s="146"/>
      <x:c r="L12" s="146"/>
      <x:c r="M12" s="146"/>
      <x:c r="N12" s="146"/>
    </x:row>
    <x:row r="13">
      <x:c r="A13" s="138" t="str">
        <x:v>1</x:v>
      </x:c>
      <x:c r="B13" s="18" t="str">
        <x:v>Hermes leads operating quality due to exceptional margins and a net-cash balance sheet.</x:v>
      </x:c>
      <x:c r="C13" s="18" t="str"/>
      <x:c r="D13" s="18" t="str"/>
      <x:c r="E13" s="18" t="str"/>
      <x:c r="F13" s="18" t="str"/>
      <x:c r="H13" s="146"/>
      <x:c r="I13" s="146"/>
      <x:c r="J13" s="146"/>
      <x:c r="K13" s="146"/>
      <x:c r="L13" s="146"/>
      <x:c r="M13" s="146"/>
      <x:c r="N13" s="146"/>
    </x:row>
    <x:row r="14">
      <x:c r="A14" s="138" t="str">
        <x:v>2</x:v>
      </x:c>
      <x:c r="B14" s="18" t="str">
        <x:v>Ferrari combines high margins with the strongest recent FCF momentum, but valuation must be tested separately.</x:v>
      </x:c>
      <x:c r="C14" s="18" t="str"/>
      <x:c r="D14" s="18" t="str"/>
      <x:c r="E14" s="18" t="str"/>
      <x:c r="F14" s="18" t="str"/>
      <x:c r="H14" s="146"/>
      <x:c r="I14" s="146"/>
      <x:c r="J14" s="146"/>
      <x:c r="K14" s="146"/>
      <x:c r="L14" s="146"/>
      <x:c r="M14" s="146"/>
      <x:c r="N14" s="146"/>
    </x:row>
    <x:row r="15">
      <x:c r="A15" s="138" t="str">
        <x:v>3</x:v>
      </x:c>
      <x:c r="B15" s="18" t="str">
        <x:v>Moncler remains cash-rich and profitable, although FY2025 growth and EBIT momentum softened.</x:v>
      </x:c>
      <x:c r="C15" s="18" t="str"/>
      <x:c r="D15" s="18" t="str"/>
      <x:c r="E15" s="18" t="str"/>
      <x:c r="F15" s="18" t="str"/>
      <x:c r="H15" s="146"/>
      <x:c r="I15" s="146"/>
      <x:c r="J15" s="146"/>
      <x:c r="K15" s="146"/>
      <x:c r="L15" s="146"/>
      <x:c r="M15" s="146"/>
      <x:c r="N15" s="146"/>
    </x:row>
    <x:row r="16">
      <x:c r="A16" s="138" t="str">
        <x:v>4</x:v>
      </x:c>
      <x:c r="B16" s="18" t="str">
        <x:v>Brunello Cucinelli has the strongest revenue growth but rising net debt and investment intensity.</x:v>
      </x:c>
      <x:c r="C16" s="18" t="str"/>
      <x:c r="D16" s="18" t="str"/>
      <x:c r="E16" s="18" t="str"/>
      <x:c r="F16" s="18" t="str"/>
      <x:c r="H16" s="146"/>
      <x:c r="I16" s="146"/>
      <x:c r="J16" s="146"/>
      <x:c r="K16" s="146"/>
      <x:c r="L16" s="146"/>
      <x:c r="M16" s="146"/>
      <x:c r="N16" s="146"/>
    </x:row>
    <x:row r="17">
      <x:c r="A17" s="138" t="str">
        <x:v>5</x:v>
      </x:c>
      <x:c r="B17" s="18" t="str">
        <x:v>LVMH offers scale and cash generation, while its 2023-2025 revenue and margin trend weakened.</x:v>
      </x:c>
      <x:c r="C17" s="18" t="str"/>
      <x:c r="D17" s="18" t="str"/>
      <x:c r="E17" s="18" t="str"/>
      <x:c r="F17" s="18" t="str"/>
    </x:row>
    <x:row r="18">
      <x:c r="A18" s="18" t="str"/>
      <x:c r="B18" s="18" t="str">
        <x:v>These are model outputs based on a small peer set, not recommendations.</x:v>
      </x:c>
      <x:c r="C18" s="18" t="str"/>
      <x:c r="D18" s="18" t="str"/>
      <x:c r="E18" s="18" t="str"/>
      <x:c r="F18" s="18" t="str"/>
    </x:row>
    <x:row r="19">
      <x:c r="A19" s="18" t="str"/>
      <x:c r="B19" s="18" t="str"/>
      <x:c r="C19" s="18" t="str"/>
      <x:c r="D19" s="18" t="str"/>
      <x:c r="E19" s="18" t="str"/>
      <x:c r="F19" s="18" t="str"/>
    </x:row>
  </x:sheetData>
  <x:mergeCells>
    <x:mergeCell ref="A1:N1"/>
    <x:mergeCell ref="A3:F3"/>
    <x:mergeCell ref="A12:F12"/>
    <x:mergeCell ref="H3:N3"/>
    <x:mergeCell ref="H11:N16"/>
  </x:mergeCells>
  <x:conditionalFormatting sqref="B5:B9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591e93e072fc4b4d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A02B93"/>
            </x14:dataBar>
          </x14:cfRule>
          <xm:sqref>B5:B9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20" hidden="0" customWidth="1"/>
    <x:col min="4" max="4" width="45" hidden="0" customWidth="1"/>
    <x:col min="5" max="5" width="70" hidden="0" customWidth="1"/>
    <x:col min="6" max="6" width="14" hidden="0" customWidth="1"/>
  </x:cols>
  <x:sheetData>
    <x:row r="1" ht="30" customHeight="1">
      <x:c r="A1" s="5" t="str">
        <x:v>Sources and data lineage</x:v>
      </x:c>
      <x:c r="B1" s="5"/>
      <x:c r="C1" s="5"/>
      <x:c r="D1" s="5"/>
      <x:c r="E1" s="5"/>
      <x:c r="F1" s="5"/>
    </x:row>
    <x:row r="3">
      <x:c r="A3" s="44" t="str">
        <x:v>ID</x:v>
      </x:c>
      <x:c r="B3" s="44" t="str">
        <x:v>Source</x:v>
      </x:c>
      <x:c r="C3" s="44" t="str">
        <x:v>Publisher</x:v>
      </x:c>
      <x:c r="D3" s="44" t="str">
        <x:v>Data used</x:v>
      </x:c>
      <x:c r="E3" s="44" t="str">
        <x:v>URL</x:v>
      </x:c>
      <x:c r="F3" s="44" t="str">
        <x:v>Accessed</x:v>
      </x:c>
    </x:row>
    <x:row r="4">
      <x:c r="A4" s="53" t="str">
        <x:v>S1</x:v>
      </x:c>
      <x:c r="B4" s="53" t="str">
        <x:v>Ferrari FY2025 results</x:v>
      </x:c>
      <x:c r="C4" s="53" t="str">
        <x:v>Ferrari N.V.</x:v>
      </x:c>
      <x:c r="D4" s="53" t="str">
        <x:v>FY2023-FY2025 revenue, EBIT, net profit, industrial FCF; FY2025 net industrial debt</x:v>
      </x:c>
      <x:c r="E4" s="53" t="str">
        <x:v>https://www.ferrari.com/en-EN/corporate/articles/ferrari-n-v-2025-results</x:v>
      </x:c>
      <x:c r="F4" s="53" t="str">
        <x:v>2026-08-09</x:v>
      </x:c>
    </x:row>
    <x:row r="5">
      <x:c r="A5" s="53" t="str">
        <x:v>S2</x:v>
      </x:c>
      <x:c r="B5" s="53" t="str">
        <x:v>LVMH key figures / FY2025 results</x:v>
      </x:c>
      <x:c r="C5" s="53" t="str">
        <x:v>LVMH</x:v>
      </x:c>
      <x:c r="D5" s="53" t="str">
        <x:v>FY2023-FY2025 revenue, recurring operating profit, group-share net profit, FCF and FY2025 net debt</x:v>
      </x:c>
      <x:c r="E5" s="53" t="str">
        <x:v>https://www.lvmh.com/en/investors/key-figures</x:v>
      </x:c>
      <x:c r="F5" s="53" t="str">
        <x:v>2026-08-09</x:v>
      </x:c>
    </x:row>
    <x:row r="6">
      <x:c r="A6" s="53" t="str">
        <x:v>S3</x:v>
      </x:c>
      <x:c r="B6" s="53" t="str">
        <x:v>Hermes FY2024 and FY2025 results</x:v>
      </x:c>
      <x:c r="C6" s="53" t="str">
        <x:v>Hermes International</x:v>
      </x:c>
      <x:c r="D6" s="53" t="str">
        <x:v>FY2023-FY2025 revenue, recurring operating income, net profit; FY2024-FY2025 adjusted FCF; FY2025 net cash</x:v>
      </x:c>
      <x:c r="E6" s="53" t="str">
        <x:v>https://finance.hermes.com/en/publications/</x:v>
      </x:c>
      <x:c r="F6" s="53" t="str">
        <x:v>2026-08-09</x:v>
      </x:c>
    </x:row>
    <x:row r="7">
      <x:c r="A7" s="53" t="str">
        <x:v>S4</x:v>
      </x:c>
      <x:c r="B7" s="53" t="str">
        <x:v>Moncler Group key figures</x:v>
      </x:c>
      <x:c r="C7" s="53" t="str">
        <x:v>Moncler Group</x:v>
      </x:c>
      <x:c r="D7" s="53" t="str">
        <x:v>FY2023-FY2025 revenue, EBIT, net result, FCF and net cash</x:v>
      </x:c>
      <x:c r="E7" s="53" t="str">
        <x:v>https://www.monclergroup.com/en/investors/key-figures</x:v>
      </x:c>
      <x:c r="F7" s="53" t="str">
        <x:v>2026-08-09</x:v>
      </x:c>
    </x:row>
    <x:row r="8">
      <x:c r="A8" s="53" t="str">
        <x:v>S5</x:v>
      </x:c>
      <x:c r="B8" s="53" t="str">
        <x:v>Brunello Cucinelli FY2025 results</x:v>
      </x:c>
      <x:c r="C8" s="53" t="str">
        <x:v>Brunello Cucinelli S.p.A.</x:v>
      </x:c>
      <x:c r="D8" s="53" t="str">
        <x:v>FY2023-FY2025 revenue and profitability comparatives; FY2024-FY2025 net debt</x:v>
      </x:c>
      <x:c r="E8" s="53" t="str">
        <x:v>https://investor.brunellocucinelli.com/en/financial-results</x:v>
      </x:c>
      <x:c r="F8" s="53" t="str">
        <x:v>2026-08-09</x:v>
      </x:c>
    </x:row>
  </x:sheetData>
  <x:mergeCells>
    <x:mergeCell ref="A1:F1"/>
  </x:mergeCells>
  <x:pageMargins left="0.7" right="0.7" top="0.75" bottom="0.75" header="0.3" footer="0.3"/>
</x:worksheet>
</file>